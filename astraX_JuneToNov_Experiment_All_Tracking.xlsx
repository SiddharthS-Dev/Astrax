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cypressautomation.sharepoint.com/sites/astraX/Shared Documents/General/AstraX June-Nov Experiments/"/>
    </mc:Choice>
  </mc:AlternateContent>
  <xr:revisionPtr revIDLastSave="235" documentId="11_8B87E1B5947916685F3B82D0ED4DACB534736403" xr6:coauthVersionLast="47" xr6:coauthVersionMax="47" xr10:uidLastSave="{6DE62576-F35E-4680-8E43-D10A284C4E11}"/>
  <bookViews>
    <workbookView xWindow="-108" yWindow="-108" windowWidth="23256" windowHeight="12456" tabRatio="500" firstSheet="1" activeTab="1" xr2:uid="{00000000-000D-0000-FFFF-FFFF00000000}"/>
  </bookViews>
  <sheets>
    <sheet name="Sample Experiment Log" sheetId="1" r:id="rId1"/>
    <sheet name="All Experiment Summary" sheetId="2" r:id="rId2"/>
    <sheet name="How To Use" sheetId="3" r:id="rId3"/>
  </sheets>
  <definedNames>
    <definedName name="_xlnm._FilterDatabase" localSheetId="1" hidden="1">'All Experiment Summary'!$A$4:$Q$4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9" i="2" l="1"/>
  <c r="Q8" i="2"/>
  <c r="Q7" i="2"/>
  <c r="Q6" i="2"/>
  <c r="Q5" i="2"/>
  <c r="Q10"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tc={BCB6FB53-DB73-4924-B138-3DEE5AC36501}</author>
  </authors>
  <commentList>
    <comment ref="A11" authorId="0" shapeId="0" xr:uid="{BCB6FB53-DB73-4924-B138-3DEE5AC36501}">
      <text>
        <t>[Threaded comment]
Your version of Excel allows you to read this threaded comment; however, any edits to it will get removed if the file is opened in a newer version of Excel. Learn more: https://go.microsoft.com/fwlink/?linkid=870924
Comment:
    Single owner for the experiment,  others can support @Aditya
Reply:
    i have changed the ownership to aditya</t>
      </text>
    </comment>
  </commentList>
</comments>
</file>

<file path=xl/sharedStrings.xml><?xml version="1.0" encoding="utf-8"?>
<sst xmlns="http://schemas.openxmlformats.org/spreadsheetml/2006/main" count="210" uniqueCount="145">
  <si>
    <t>astraX — Personal Experiment Log</t>
  </si>
  <si>
    <t>Owner: ___________________   Track(s): ___________________   Updated: ___________________</t>
  </si>
  <si>
    <t>Hypothesis format: 'If we do X, then Y will happen, because Z.'   Success Criteria: measurable, written BEFORE the experiment.   Status: Not Started | In Progress | Complete | Blocked | Inconclusive</t>
  </si>
  <si>
    <t>Track</t>
  </si>
  <si>
    <t>Experiment Title</t>
  </si>
  <si>
    <t>Description / Hypothesis</t>
  </si>
  <si>
    <t>Experiment Design</t>
  </si>
  <si>
    <t>Success Criteria</t>
  </si>
  <si>
    <t>Target End Date</t>
  </si>
  <si>
    <t>Dependencies</t>
  </si>
  <si>
    <t>Outcome / Finding</t>
  </si>
  <si>
    <t>Next Action</t>
  </si>
  <si>
    <t>Status</t>
  </si>
  <si>
    <t>T1 AstraX Device</t>
  </si>
  <si>
    <t>GEOMINFO_ts sensitivity on Mo</t>
  </si>
  <si>
    <t>If we reduce GEOMINFO_ts by 20%, Mo overcall on 316 SS will drop below 5% delta</t>
  </si>
  <si>
    <t>Run 5 spectra on NIST SRM 361 (316 SS). Vary GEOMINFO_ts from 0.8x to 1.2x in steps. Log Mo% at each setting.</t>
  </si>
  <si>
    <t>Mo delta vs certified &lt; 5% on ≥3 of 5 runs</t>
  </si>
  <si>
    <t>2026-06-20</t>
  </si>
  <si>
    <t>HIL jig live (T1-Jul); DPP gain locked</t>
  </si>
  <si>
    <t>In Progress</t>
  </si>
  <si>
    <t>T2 AstraX Customer Cloud</t>
  </si>
  <si>
    <t>ScrapSense onboarding flow — scrap yard pilot</t>
  </si>
  <si>
    <t>If we reduce onboarding steps from 7 to 4, pilot user activation time will drop below 10 minutes</t>
  </si>
  <si>
    <t>A/B test: current 7-step flow vs simplified 4-step flow with 2 scrap yard users. Measure time-to-first-measurement.</t>
  </si>
  <si>
    <t>Median activation time &lt; 10 min; user rates flow ≥ 4/5</t>
  </si>
  <si>
    <t>2026-07-15</t>
  </si>
  <si>
    <t>ScrapSense MVP spec finalised (T2-Jul)</t>
  </si>
  <si>
    <t>Not Started</t>
  </si>
  <si>
    <t>T3 AstraX Ops Cloud</t>
  </si>
  <si>
    <t>Implement sales agent</t>
  </si>
  <si>
    <t>Create a Agent to support astraX sales workflows online, Amazon like experience</t>
  </si>
  <si>
    <t>Refer to HW companies who already implemented this capability online</t>
  </si>
  <si>
    <t>Significantly removes grunt work involved with sales operations, customer is delighted</t>
  </si>
  <si>
    <t>T4 Manufacturing partners</t>
  </si>
  <si>
    <t>India CM #1 — PCB assembly cost vs US baseline</t>
  </si>
  <si>
    <t>India CM can produce 3-board PCB assembly set at ≤60% of current US quote ($900 target vs $1,500 US)</t>
  </si>
  <si>
    <t>Send Gerbers + BOM to top 3 India CM candidates. Request unit price at 10-unit and 50-unit MOQ. Compare to US baseline quote.</t>
  </si>
  <si>
    <t>At least 1 CM quotes ≤$900 at 50-unit MOQ with ≥IPC Class 2 quality standard</t>
  </si>
  <si>
    <t>2026-07-10</t>
  </si>
  <si>
    <t>BOM India-sourceable audit complete (T4-Jun); NDA signed</t>
  </si>
  <si>
    <t>T5 Business</t>
  </si>
  <si>
    <t>Break-even sensitivity — COGS reduction impact</t>
  </si>
  <si>
    <t>If India CM hits $9K COGS target (vs $10.66K), break-even drops from 38 to ≤28 units/yr — within 2027 target</t>
  </si>
  <si>
    <t>Update Device Economics sheet with India CM quotes as received. Re-run sensitivity table. Plot break-even vs COGS mult.</t>
  </si>
  <si>
    <t>Break-even ≤30 units/yr confirmed at India CM price point</t>
  </si>
  <si>
    <t>2026-08-15</t>
  </si>
  <si>
    <t>T4 CM RFQ responses received (T4-Jul); T2 pricing confirmed</t>
  </si>
  <si>
    <t>T6 Sales partner</t>
  </si>
  <si>
    <t>astraX — Team Experiment Summary</t>
  </si>
  <si>
    <t>HOW TO USE: Each team member updates their Experiment Log regularly. Can Filter by Track or Status to run standup. Stats panel auto-counts from col J.</t>
  </si>
  <si>
    <t>Owner</t>
  </si>
  <si>
    <t>Function</t>
  </si>
  <si>
    <t>Parent Item</t>
  </si>
  <si>
    <t>Test outcome / Finding</t>
  </si>
  <si>
    <t>STATUS SUMMARY</t>
  </si>
  <si>
    <t>Count</t>
  </si>
  <si>
    <t>Vijay</t>
  </si>
  <si>
    <t>T1 Device</t>
  </si>
  <si>
    <t>astraX calibration framework</t>
  </si>
  <si>
    <t>A intuitive calibration app framework for developing XRF applications, to be used by XRF application engineer</t>
  </si>
  <si>
    <t>Initially build on a PC, later make this a calibrationAgent in the Cloud in future</t>
  </si>
  <si>
    <t>quick development and debug of XRF applications</t>
  </si>
  <si>
    <t>?</t>
  </si>
  <si>
    <t>XRS library calibration design</t>
  </si>
  <si>
    <t>Ability to create calibrations</t>
  </si>
  <si>
    <t>Sreekar</t>
  </si>
  <si>
    <t>T1-Device</t>
  </si>
  <si>
    <t>Battery Management System</t>
  </si>
  <si>
    <t>If we set up a evaluation board equivalent of our pcb layout, we can confirm that our design is correct</t>
  </si>
  <si>
    <t>Get EV2500 programmer, set up individual boards, connect real battery, connect stm for monitoring</t>
  </si>
  <si>
    <t>Able to properly charge the battery, use the battery, and view the current status of it.</t>
  </si>
  <si>
    <t>Wait for EV2500 and battery</t>
  </si>
  <si>
    <t>Set up STM base firmware</t>
  </si>
  <si>
    <t>Complete</t>
  </si>
  <si>
    <t>Gopinath</t>
  </si>
  <si>
    <t>Calculate weight for the device from design</t>
  </si>
  <si>
    <t>Mechanical</t>
  </si>
  <si>
    <t>calculate weight from design file and compare with physical sample. work on weight reduction if  the device is more than 1.5kg</t>
  </si>
  <si>
    <t>build the EB1 mock up system and measure , optimize the design for EB2 to meet weight target</t>
  </si>
  <si>
    <t>meet the weight target(,1.5kg) is ideal</t>
  </si>
  <si>
    <t>EB1 mock up sample</t>
  </si>
  <si>
    <t>Blocked</t>
  </si>
  <si>
    <t>PMMA assembly with king tech CG</t>
  </si>
  <si>
    <t>identify optimized method to integrate PMMA cover into CG with transperant glue or adhesive</t>
  </si>
  <si>
    <t>Inconclusive</t>
  </si>
  <si>
    <t>Ravi</t>
  </si>
  <si>
    <t>Battery housing prototype, terminal selection &amp; samples, handle assembly prototype, ID input</t>
  </si>
  <si>
    <t>TOTAL</t>
  </si>
  <si>
    <t>Aditya</t>
  </si>
  <si>
    <t>Trigger Button user experience</t>
  </si>
  <si>
    <t>Type C connector life cycle test</t>
  </si>
  <si>
    <t>meet cycle test 5000 to 10000 insertion and extraction cycle for type C</t>
  </si>
  <si>
    <t xml:space="preserve">IP54 Sealing </t>
  </si>
  <si>
    <t>astraX Experiment Log — How To Use</t>
  </si>
  <si>
    <t>COLUMN</t>
  </si>
  <si>
    <t>GUIDANCE</t>
  </si>
  <si>
    <t>Select from dropdown: T1 Device through T6 Sales. Links your experiment to the Jun–Nov roadmap.</t>
  </si>
  <si>
    <t>Short scannable name. Use in standups. Example: 'GEOMINFO_ts sensitivity on Mo'. Any atomic experiment is NOT bigger than 2 weeks.</t>
  </si>
  <si>
    <t>Write as: 'If we do X, then Y will happen, because Z.' Be specific. Bad: 'Test the quant model.' Good: 'If we reduce GEOMINFO_ts by 20%, Mo overcall on 316 SS will drop below 5% delta.'</t>
  </si>
  <si>
    <t>How will you run it? List: materials/samples needed, steps, number of runs, measurement method. Enough detail that someone else could run it in your absence.</t>
  </si>
  <si>
    <t>WRITE THIS BEFORE YOU START. What specifically does 'pass' look like? Must be measurable. Example: 'Mo delta vs certified &lt; 5% on ≥3 of 5 runs.' Prevents moving goalposts after the fact.</t>
  </si>
  <si>
    <t>Pick a realistic date. If it slips, update it and note why in Dependencies.</t>
  </si>
  <si>
    <t>What must be true before this experiment can start or finish? Format: 'HIL jig live (T1-Jul)' or 'India CM RFQ received (T4-Jul)'. Surface blockers during standup</t>
  </si>
  <si>
    <t>Fill in AFTER the experiment. State the actual result in one sentence. Then note what it means: 'Pass — confirms hypothesis' or 'Fail — Mo delta was 9%, not &lt;5%. Energy calibration may be the root cause.'</t>
  </si>
  <si>
    <t>What does this result trigger? Must be actionable. Examples: 'Run experiment #2 with adjusted detector angle' or 'Update CalcEngine GEOMINFO_ts to 0.8x and retest' or 'Escalate to Vijay — blocked on DPP gain setting.'</t>
  </si>
  <si>
    <t>Select from Drop Down (Not Started → In Progress → Complete or Blocked or Inconclusive). Update every Friday. Row turns green on Complete, red on Blocked automatically.</t>
  </si>
  <si>
    <t>WEEKLY RITUAL</t>
  </si>
  <si>
    <t>weekly standup calls</t>
  </si>
  <si>
    <t>Update XL before the standup</t>
  </si>
  <si>
    <t>Monday (Leads meeting)</t>
  </si>
  <si>
    <t>Review weekly progress and challenges, prioritize</t>
  </si>
  <si>
    <t>HYPOTHESIS TIP</t>
  </si>
  <si>
    <t>'Experiments' without hypotheses are just tasks. The discipline of writing 'If X then Y because Z' forces clarity on what you're actually trying to learn — which is the whole point of experiment-based execution.</t>
  </si>
  <si>
    <t>ID - Final Form</t>
  </si>
  <si>
    <t xml:space="preserve">Vijay cited some updates needed on the form, e.g. handle size, battery width, rounding the top cover, making bezel narrower (side view).  We're deciding what to require in EB1 and what can be pushed into EB2.
Final ID, Fresco adjustments required early/during EB2 design cycle.
</t>
  </si>
  <si>
    <t>Handle, grip size</t>
  </si>
  <si>
    <t>Increase grip size for better comfort/control. Work with ID and Vijay to define the size and contour that works well for 25th to 75th percentile hand size. With gloves?</t>
  </si>
  <si>
    <t>UI Controls</t>
  </si>
  <si>
    <t>Redesign of Pwr, Rocker is expected during EB2.
Final ID, Fresco revisions are needed early/during EB2 design cycle.</t>
  </si>
  <si>
    <t>Macro Camera</t>
  </si>
  <si>
    <t>Kapton Window</t>
  </si>
  <si>
    <t>Custom die-cut, peel-and-stick window</t>
  </si>
  <si>
    <t>Injection Molding</t>
  </si>
  <si>
    <t>2-shot or insert-molded Handle L/R. 
Drafts and Split-lines are modeled. Need ID texture specs to define draft angles.</t>
  </si>
  <si>
    <t>Design drop-in module that fits where E-Switch trigger was mounted. 
Make it adjustable in spring force and travel. 
Do we need a detent or is simple linear travel enough with sound and LED light activation?</t>
  </si>
  <si>
    <t>CMF</t>
  </si>
  <si>
    <t>Final ID, Fresco adjustments required. Fresco work must be done early in EB2 design cycle.
Define CMF citing standard color and finish standards by our supplier.</t>
  </si>
  <si>
    <t>Drop Survival</t>
  </si>
  <si>
    <t>EB1 must incorporate a design strategy that is intended to pass 36" drop.  This prototype need not pass.  We should run tests on a mock-up with housing and frame only.
EB2 must pass Drop Requirement, because high-confidence is needed before investing in PB tooling.
Most fragile components:
  &gt;xray tube
  &gt;detector
  &gt;display</t>
  </si>
  <si>
    <t>Battery design with integration of terminals</t>
  </si>
  <si>
    <t>Lock/unlock of Battery with premium feel.
Reliable Connection of battery terminal with handle teminals.</t>
  </si>
  <si>
    <t>Develop battery housing prototype with integrated terminal design. 
Perform insertion/removal cycle testing, terminal alignment verification, and user evaluation for locking feel. 
Test minimum 20-50 insertion cycles.</t>
  </si>
  <si>
    <t>1. Battery locks securely and removes easily without excessive force.
2. No terminal damage after repeated cycles.
3. No intermittent electrical connection during handling/vibration.
4. User feedback indicates acceptable premium feel.
5. Water does not "pool" enough to short circuit + and - contacts. (See also IP54 entry)
6. Minimal freeplay when attached (rotary and XY).</t>
  </si>
  <si>
    <t>RAD LED uniform illumination</t>
  </si>
  <si>
    <t>View in dark and bright sunlit conditions to evaluate.</t>
  </si>
  <si>
    <t>Users say that it's easy to see if the LED is lit while viewing in daylight conditions.
Users say that the LED bar  appears to be uniformly lit.</t>
  </si>
  <si>
    <t xml:space="preserve">The trigger actuation can be designed to provide a highly satisfying experience without fatigue and exuding a sense of high quality. </t>
  </si>
  <si>
    <t>Users say that the trigger feels of high quality, does not cause fatigue after 50 actuations.</t>
  </si>
  <si>
    <t>Power button light illumination and tactile feel</t>
  </si>
  <si>
    <t>Power button illumination is easily visible, with bright and uniform illumination, in daylight conditions, from all intended angles of view.</t>
  </si>
  <si>
    <t>RAD LED is easily visible, with bright and uniform illumination, in daylight conditions, from all intended angles of view.</t>
  </si>
  <si>
    <t>Users say that it's easy to see if the PWR button is lit while viewing in daylight conditions.
Users say that the PWR button  appears to be uniformly lit.</t>
  </si>
  <si>
    <t>EB2 prototypes exposed to IP54 water and dust exposure will not allow ingress.</t>
  </si>
  <si>
    <t>Design water-resistant foam seals or O-rings at all joints that have been analyzed to insure enough compression to resist water/dust and not have excessive force that might distort parts and cause cosmetic misalignments.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</si>
</sst>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Calibri"/>
      <family val="2"/>
      <charset val="1"/>
    </font>
    <font>
      <b/>
      <sz val="14"/>
      <color rgb="FFFFFFFF"/>
      <name val="Arial"/>
      <charset val="1"/>
    </font>
    <font>
      <i/>
      <sz val="9"/>
      <color rgb="FFFFFFFF"/>
      <name val="Arial"/>
      <charset val="1"/>
    </font>
    <font>
      <i/>
      <sz val="8"/>
      <color rgb="FF444444"/>
      <name val="Arial"/>
      <charset val="1"/>
    </font>
    <font>
      <b/>
      <sz val="9"/>
      <color rgb="FFFFFFFF"/>
      <name val="Arial"/>
      <charset val="1"/>
    </font>
    <font>
      <b/>
      <sz val="9"/>
      <color rgb="FF3C3489"/>
      <name val="Arial"/>
      <charset val="1"/>
    </font>
    <font>
      <b/>
      <sz val="9"/>
      <color rgb="FF1F3864"/>
      <name val="Arial"/>
      <charset val="1"/>
    </font>
    <font>
      <sz val="9"/>
      <color rgb="FF333333"/>
      <name val="Arial"/>
      <charset val="1"/>
    </font>
    <font>
      <b/>
      <sz val="9"/>
      <color rgb="FF856404"/>
      <name val="Arial"/>
      <charset val="1"/>
    </font>
    <font>
      <b/>
      <sz val="9"/>
      <color rgb="FF085041"/>
      <name val="Arial"/>
      <charset val="1"/>
    </font>
    <font>
      <b/>
      <sz val="9"/>
      <color rgb="FF666666"/>
      <name val="Arial"/>
      <charset val="1"/>
    </font>
    <font>
      <b/>
      <sz val="9"/>
      <color rgb="FF633806"/>
      <name val="Arial"/>
      <charset val="1"/>
    </font>
    <font>
      <b/>
      <sz val="9"/>
      <color rgb="FF712B13"/>
      <name val="Arial"/>
      <charset val="1"/>
    </font>
    <font>
      <b/>
      <sz val="9"/>
      <color rgb="FF1A4A1A"/>
      <name val="Arial"/>
      <charset val="1"/>
    </font>
    <font>
      <b/>
      <sz val="13"/>
      <color rgb="FFFFFFFF"/>
      <name val="Arial"/>
      <charset val="1"/>
    </font>
    <font>
      <i/>
      <sz val="8"/>
      <color rgb="FFFFFFFF"/>
      <name val="Arial"/>
      <charset val="1"/>
    </font>
    <font>
      <sz val="9"/>
      <color rgb="FF000000"/>
      <name val="Arial"/>
      <charset val="1"/>
    </font>
    <font>
      <b/>
      <sz val="9"/>
      <color rgb="FF155724"/>
      <name val="Arial"/>
      <charset val="1"/>
    </font>
    <font>
      <b/>
      <sz val="9"/>
      <color rgb="FF7D1A1A"/>
      <name val="Arial"/>
      <charset val="1"/>
    </font>
    <font>
      <sz val="9"/>
      <color rgb="FF333333"/>
      <name val="Arial"/>
      <family val="2"/>
    </font>
  </fonts>
  <fills count="18">
    <fill>
      <patternFill patternType="none"/>
    </fill>
    <fill>
      <patternFill patternType="gray125"/>
    </fill>
    <fill>
      <patternFill patternType="solid">
        <fgColor rgb="FF1F3864"/>
        <bgColor rgb="FF333333"/>
      </patternFill>
    </fill>
    <fill>
      <patternFill patternType="solid">
        <fgColor rgb="FF2E5FA3"/>
        <bgColor rgb="FF3366FF"/>
      </patternFill>
    </fill>
    <fill>
      <patternFill patternType="solid">
        <fgColor rgb="FFEEF4FF"/>
        <bgColor rgb="FFF5F5F5"/>
      </patternFill>
    </fill>
    <fill>
      <patternFill patternType="solid">
        <fgColor rgb="FFE8E6FD"/>
        <bgColor rgb="FFD6E4F7"/>
      </patternFill>
    </fill>
    <fill>
      <patternFill patternType="solid">
        <fgColor rgb="FFFAFAFA"/>
        <bgColor rgb="FFF9FBFF"/>
      </patternFill>
    </fill>
    <fill>
      <patternFill patternType="solid">
        <fgColor rgb="FFFFFFFF"/>
        <bgColor rgb="FFF9FBFF"/>
      </patternFill>
    </fill>
    <fill>
      <patternFill patternType="solid">
        <fgColor rgb="FFF5F5F5"/>
        <bgColor rgb="FFFAFAFA"/>
      </patternFill>
    </fill>
    <fill>
      <patternFill patternType="solid">
        <fgColor rgb="FFFFF9C4"/>
        <bgColor rgb="FFFDE8C0"/>
      </patternFill>
    </fill>
    <fill>
      <patternFill patternType="solid">
        <fgColor rgb="FFD9F2E8"/>
        <bgColor rgb="FFD4EDDA"/>
      </patternFill>
    </fill>
    <fill>
      <patternFill patternType="solid">
        <fgColor rgb="FFFDE8C0"/>
        <bgColor rgb="FFFADDD3"/>
      </patternFill>
    </fill>
    <fill>
      <patternFill patternType="solid">
        <fgColor rgb="FFFADDD3"/>
        <bgColor rgb="FFFDE8C0"/>
      </patternFill>
    </fill>
    <fill>
      <patternFill patternType="solid">
        <fgColor rgb="FFE8F4E8"/>
        <bgColor rgb="FFEEF4FF"/>
      </patternFill>
    </fill>
    <fill>
      <patternFill patternType="solid">
        <fgColor rgb="FFD4EDDA"/>
        <bgColor rgb="FFD9F2E8"/>
      </patternFill>
    </fill>
    <fill>
      <patternFill patternType="solid">
        <fgColor rgb="FFFEECEC"/>
        <bgColor rgb="FFF5F5F5"/>
      </patternFill>
    </fill>
    <fill>
      <patternFill patternType="solid">
        <fgColor rgb="FFD6E4F7"/>
        <bgColor rgb="FFE8E6FD"/>
      </patternFill>
    </fill>
    <fill>
      <patternFill patternType="solid">
        <fgColor rgb="FFF9FBFF"/>
        <bgColor rgb="FFFAFAF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2">
    <xf numFmtId="0" fontId="0" fillId="0" borderId="0" xfId="0"/>
    <xf numFmtId="0" fontId="4" fillId="2" borderId="1" xfId="0" applyFont="1" applyFill="1" applyBorder="1" applyAlignment="1">
      <alignment horizontal="center" vertical="center"/>
    </xf>
    <xf numFmtId="0" fontId="5" fillId="5" borderId="1" xfId="0" applyFont="1" applyFill="1" applyBorder="1" applyAlignment="1">
      <alignment horizontal="center" vertical="top"/>
    </xf>
    <xf numFmtId="0" fontId="6" fillId="6" borderId="1" xfId="0" applyFont="1" applyFill="1" applyBorder="1" applyAlignment="1">
      <alignment horizontal="left" vertical="top" wrapText="1"/>
    </xf>
    <xf numFmtId="0" fontId="7" fillId="7" borderId="1" xfId="0" applyFont="1" applyFill="1" applyBorder="1" applyAlignment="1">
      <alignment horizontal="left" vertical="top" wrapText="1"/>
    </xf>
    <xf numFmtId="164" fontId="7" fillId="8" borderId="1" xfId="0" applyNumberFormat="1" applyFont="1" applyFill="1" applyBorder="1" applyAlignment="1">
      <alignment horizontal="center" vertical="top"/>
    </xf>
    <xf numFmtId="0" fontId="8" fillId="9" borderId="1" xfId="0" applyFont="1" applyFill="1" applyBorder="1" applyAlignment="1">
      <alignment horizontal="center" vertical="top"/>
    </xf>
    <xf numFmtId="0" fontId="9" fillId="10" borderId="1" xfId="0" applyFont="1" applyFill="1" applyBorder="1" applyAlignment="1">
      <alignment horizontal="center" vertical="top"/>
    </xf>
    <xf numFmtId="0" fontId="10" fillId="8" borderId="1" xfId="0" applyFont="1" applyFill="1" applyBorder="1" applyAlignment="1">
      <alignment horizontal="center" vertical="top"/>
    </xf>
    <xf numFmtId="0" fontId="11" fillId="11" borderId="1" xfId="0" applyFont="1" applyFill="1" applyBorder="1" applyAlignment="1">
      <alignment horizontal="center" vertical="top"/>
    </xf>
    <xf numFmtId="0" fontId="12" fillId="12" borderId="1" xfId="0" applyFont="1" applyFill="1" applyBorder="1" applyAlignment="1">
      <alignment horizontal="center" vertical="top"/>
    </xf>
    <xf numFmtId="0" fontId="13" fillId="13" borderId="1" xfId="0" applyFont="1" applyFill="1" applyBorder="1" applyAlignment="1">
      <alignment horizontal="center" vertical="top"/>
    </xf>
    <xf numFmtId="0" fontId="7" fillId="8" borderId="1" xfId="0" applyFont="1" applyFill="1" applyBorder="1" applyAlignment="1">
      <alignment horizontal="left" vertical="top" wrapText="1"/>
    </xf>
    <xf numFmtId="164" fontId="7" fillId="7" borderId="1" xfId="0" applyNumberFormat="1" applyFont="1" applyFill="1" applyBorder="1" applyAlignment="1">
      <alignment horizontal="left" vertical="top" wrapText="1"/>
    </xf>
    <xf numFmtId="0" fontId="10" fillId="8" borderId="1" xfId="0" applyFont="1" applyFill="1" applyBorder="1" applyAlignment="1">
      <alignment horizontal="left" vertical="center"/>
    </xf>
    <xf numFmtId="1" fontId="16" fillId="4" borderId="1" xfId="0" applyNumberFormat="1" applyFont="1" applyFill="1" applyBorder="1" applyAlignment="1">
      <alignment horizontal="center" vertical="center"/>
    </xf>
    <xf numFmtId="0" fontId="8" fillId="9" borderId="1" xfId="0" applyFont="1" applyFill="1" applyBorder="1" applyAlignment="1">
      <alignment horizontal="left" vertical="center"/>
    </xf>
    <xf numFmtId="0" fontId="17" fillId="14" borderId="1" xfId="0" applyFont="1" applyFill="1" applyBorder="1" applyAlignment="1">
      <alignment horizontal="left" vertical="center"/>
    </xf>
    <xf numFmtId="0" fontId="18" fillId="15" borderId="1" xfId="0" applyFont="1" applyFill="1" applyBorder="1" applyAlignment="1">
      <alignment horizontal="left" vertical="center"/>
    </xf>
    <xf numFmtId="0" fontId="6" fillId="4" borderId="1" xfId="0" applyFont="1" applyFill="1" applyBorder="1" applyAlignment="1">
      <alignment horizontal="left" vertical="center"/>
    </xf>
    <xf numFmtId="0" fontId="6" fillId="16" borderId="1" xfId="0" applyFont="1" applyFill="1" applyBorder="1"/>
    <xf numFmtId="0" fontId="6" fillId="16" borderId="1" xfId="0" applyFont="1" applyFill="1" applyBorder="1" applyAlignment="1">
      <alignment horizontal="center" vertical="center"/>
    </xf>
    <xf numFmtId="0" fontId="4" fillId="3" borderId="1" xfId="0" applyFont="1" applyFill="1" applyBorder="1" applyAlignment="1">
      <alignment horizontal="left" vertical="top" wrapText="1"/>
    </xf>
    <xf numFmtId="0" fontId="6" fillId="16" borderId="1" xfId="0" applyFont="1" applyFill="1" applyBorder="1" applyAlignment="1">
      <alignment horizontal="left" vertical="top" wrapText="1"/>
    </xf>
    <xf numFmtId="0" fontId="7" fillId="17" borderId="1" xfId="0" applyFont="1" applyFill="1" applyBorder="1" applyAlignment="1">
      <alignment horizontal="left" vertical="top" wrapText="1"/>
    </xf>
    <xf numFmtId="0" fontId="14" fillId="2" borderId="0" xfId="0" applyFont="1" applyFill="1" applyAlignment="1">
      <alignment horizontal="left" vertical="center"/>
    </xf>
    <xf numFmtId="0" fontId="15" fillId="3" borderId="0" xfId="0" applyFont="1" applyFill="1" applyAlignment="1">
      <alignment horizontal="left" vertical="center"/>
    </xf>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4" borderId="0" xfId="0" applyFont="1" applyFill="1" applyAlignment="1">
      <alignment horizontal="left" vertical="center"/>
    </xf>
    <xf numFmtId="0" fontId="19" fillId="7" borderId="1" xfId="0" applyFont="1" applyFill="1" applyBorder="1" applyAlignment="1">
      <alignment horizontal="left" vertical="top" wrapText="1"/>
    </xf>
    <xf numFmtId="0" fontId="4" fillId="2" borderId="1" xfId="0" applyFont="1" applyFill="1" applyBorder="1" applyAlignment="1">
      <alignment horizontal="center" vertical="center" wrapText="1"/>
    </xf>
  </cellXfs>
  <cellStyles count="1">
    <cellStyle name="Normal" xfId="0" builtinId="0"/>
  </cellStyles>
  <dxfs count="2">
    <dxf>
      <font>
        <sz val="9"/>
        <color rgb="FF155724"/>
        <name val="Arial"/>
        <charset val="1"/>
      </font>
      <fill>
        <patternFill>
          <bgColor rgb="FFD4EDDA"/>
        </patternFill>
      </fill>
    </dxf>
    <dxf>
      <font>
        <sz val="9"/>
        <color rgb="FF7D1A1A"/>
        <name val="Arial"/>
        <charset val="1"/>
      </font>
      <fill>
        <patternFill>
          <bgColor rgb="FFFEECEC"/>
        </patternFill>
      </fill>
    </dxf>
  </dxfs>
  <tableStyles count="0" defaultTableStyle="TableStyleMedium2" defaultPivotStyle="PivotStyleLight16"/>
  <colors>
    <indexedColors>
      <rgbColor rgb="FF000000"/>
      <rgbColor rgb="FFFFFFFF"/>
      <rgbColor rgb="FFFF0000"/>
      <rgbColor rgb="FF00FF00"/>
      <rgbColor rgb="FF0000FF"/>
      <rgbColor rgb="FFF5F5F5"/>
      <rgbColor rgb="FFFF00FF"/>
      <rgbColor rgb="FF00FFFF"/>
      <rgbColor rgb="FF7D1A1A"/>
      <rgbColor rgb="FF155724"/>
      <rgbColor rgb="FF000080"/>
      <rgbColor rgb="FF856404"/>
      <rgbColor rgb="FF800080"/>
      <rgbColor rgb="FF008080"/>
      <rgbColor rgb="FFCCCCCC"/>
      <rgbColor rgb="FF808080"/>
      <rgbColor rgb="FF9999FF"/>
      <rgbColor rgb="FF633806"/>
      <rgbColor rgb="FFFFF9C4"/>
      <rgbColor rgb="FFD9F2E8"/>
      <rgbColor rgb="FF660066"/>
      <rgbColor rgb="FFFF8080"/>
      <rgbColor rgb="FF2E5FA3"/>
      <rgbColor rgb="FFD6E4F7"/>
      <rgbColor rgb="FF000080"/>
      <rgbColor rgb="FFFF00FF"/>
      <rgbColor rgb="FFFAFAFA"/>
      <rgbColor rgb="FF00FFFF"/>
      <rgbColor rgb="FF800080"/>
      <rgbColor rgb="FF800000"/>
      <rgbColor rgb="FF008080"/>
      <rgbColor rgb="FF0000FF"/>
      <rgbColor rgb="FF00CCFF"/>
      <rgbColor rgb="FFE8F4E8"/>
      <rgbColor rgb="FFD4EDDA"/>
      <rgbColor rgb="FFFDE8C0"/>
      <rgbColor rgb="FFE8E6FD"/>
      <rgbColor rgb="FFFEECEC"/>
      <rgbColor rgb="FFEEF4FF"/>
      <rgbColor rgb="FFFADDD3"/>
      <rgbColor rgb="FF3366FF"/>
      <rgbColor rgb="FF33CCCC"/>
      <rgbColor rgb="FF99CC00"/>
      <rgbColor rgb="FFF9FBFF"/>
      <rgbColor rgb="FFFF9900"/>
      <rgbColor rgb="FFFF6600"/>
      <rgbColor rgb="FF666666"/>
      <rgbColor rgb="FF969696"/>
      <rgbColor rgb="FF1F3864"/>
      <rgbColor rgb="FF339966"/>
      <rgbColor rgb="FF085041"/>
      <rgbColor rgb="FF1A4A1A"/>
      <rgbColor rgb="FF712B13"/>
      <rgbColor rgb="FF444444"/>
      <rgbColor rgb="FF3C348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ditya Kontheti" id="{E95D9D83-20BB-4381-ADB4-EFBA4F82331B}" userId="aditya@astraanalytical.com" providerId="PeoplePicker"/>
  <person displayName="Gopinath Kandasamy" id="{098ED0A1-8B31-4337-9335-A84F88402F85}" userId="S::gopi@astraanalytical.com::2104a1dd-407a-43a3-b4b6-8e8319226576" providerId="AD"/>
  <person displayName="Vijay Chilakapati" id="{2FDB0057-F607-458E-A971-99F52640F4B3}" userId="S::vijay.chilakapati@astraanalytical.com::50c5210b-274e-4c58-a72b-4843f9592b9a"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1" dT="2026-06-03T14:53:16.21" personId="{2FDB0057-F607-458E-A971-99F52640F4B3}" id="{BCB6FB53-DB73-4924-B138-3DEE5AC36501}">
    <text>Single owner for the experiment,  others can support @Aditya</text>
    <mentions>
      <mention mentionpersonId="{E95D9D83-20BB-4381-ADB4-EFBA4F82331B}" mentionId="{684AEB27-FBED-492F-ACF3-3CAECAB98B7D}" startIndex="53" length="7"/>
    </mentions>
  </threadedComment>
  <threadedComment ref="A11" dT="2026-06-03T15:43:00.13" personId="{098ED0A1-8B31-4337-9335-A84F88402F85}" id="{FFC2905C-E6D5-481E-AE70-FF8A3AACC998}" parentId="{BCB6FB53-DB73-4924-B138-3DEE5AC36501}">
    <text>i have changed the ownership to aditya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showGridLines="0" zoomScaleNormal="100" workbookViewId="0">
      <pane ySplit="4" topLeftCell="A5" activePane="bottomLeft" state="frozen"/>
      <selection pane="bottomLeft" activeCell="A10" sqref="A10"/>
    </sheetView>
  </sheetViews>
  <sheetFormatPr defaultColWidth="8.6640625" defaultRowHeight="14.4" x14ac:dyDescent="0.3"/>
  <cols>
    <col min="1" max="1" width="21.5546875" customWidth="1"/>
    <col min="2" max="2" width="28" customWidth="1"/>
    <col min="3" max="3" width="42" customWidth="1"/>
    <col min="4" max="4" width="38" customWidth="1"/>
    <col min="5" max="5" width="30" customWidth="1"/>
    <col min="6" max="6" width="14" customWidth="1"/>
    <col min="7" max="7" width="28" customWidth="1"/>
    <col min="8" max="8" width="38" customWidth="1"/>
    <col min="9" max="9" width="30" customWidth="1"/>
    <col min="10" max="10" width="14" customWidth="1"/>
  </cols>
  <sheetData>
    <row r="1" spans="1:10" ht="30" customHeight="1" x14ac:dyDescent="0.3">
      <c r="A1" s="27" t="s">
        <v>0</v>
      </c>
      <c r="B1" s="27"/>
      <c r="C1" s="27"/>
      <c r="D1" s="27"/>
      <c r="E1" s="27"/>
      <c r="F1" s="27"/>
      <c r="G1" s="27"/>
      <c r="H1" s="27"/>
      <c r="I1" s="27"/>
      <c r="J1" s="27"/>
    </row>
    <row r="2" spans="1:10" ht="15.75" customHeight="1" x14ac:dyDescent="0.3">
      <c r="A2" s="28" t="s">
        <v>1</v>
      </c>
      <c r="B2" s="28"/>
      <c r="C2" s="28"/>
      <c r="D2" s="28"/>
      <c r="E2" s="28"/>
      <c r="F2" s="28"/>
      <c r="G2" s="28"/>
      <c r="H2" s="28"/>
      <c r="I2" s="28"/>
      <c r="J2" s="28"/>
    </row>
    <row r="3" spans="1:10" ht="13.5" customHeight="1" x14ac:dyDescent="0.3">
      <c r="A3" s="29" t="s">
        <v>2</v>
      </c>
      <c r="B3" s="29"/>
      <c r="C3" s="29"/>
      <c r="D3" s="29"/>
      <c r="E3" s="29"/>
      <c r="F3" s="29"/>
      <c r="G3" s="29"/>
      <c r="H3" s="29"/>
      <c r="I3" s="29"/>
      <c r="J3" s="29"/>
    </row>
    <row r="4" spans="1:10" ht="3.75" customHeight="1" x14ac:dyDescent="0.3"/>
    <row r="5" spans="1:10" ht="21.75" customHeight="1" x14ac:dyDescent="0.3">
      <c r="A5" s="1" t="s">
        <v>3</v>
      </c>
      <c r="B5" s="1" t="s">
        <v>4</v>
      </c>
      <c r="C5" s="1" t="s">
        <v>5</v>
      </c>
      <c r="D5" s="1" t="s">
        <v>6</v>
      </c>
      <c r="E5" s="1" t="s">
        <v>7</v>
      </c>
      <c r="F5" s="1" t="s">
        <v>8</v>
      </c>
      <c r="G5" s="1" t="s">
        <v>9</v>
      </c>
      <c r="H5" s="1" t="s">
        <v>10</v>
      </c>
      <c r="I5" s="1" t="s">
        <v>11</v>
      </c>
      <c r="J5" s="1" t="s">
        <v>12</v>
      </c>
    </row>
    <row r="6" spans="1:10" ht="51.75" customHeight="1" x14ac:dyDescent="0.3">
      <c r="A6" s="2" t="s">
        <v>13</v>
      </c>
      <c r="B6" s="3" t="s">
        <v>14</v>
      </c>
      <c r="C6" s="4" t="s">
        <v>15</v>
      </c>
      <c r="D6" s="4" t="s">
        <v>16</v>
      </c>
      <c r="E6" s="4" t="s">
        <v>17</v>
      </c>
      <c r="F6" s="5" t="s">
        <v>18</v>
      </c>
      <c r="G6" s="4" t="s">
        <v>19</v>
      </c>
      <c r="H6" s="4"/>
      <c r="I6" s="4"/>
      <c r="J6" s="6" t="s">
        <v>20</v>
      </c>
    </row>
    <row r="7" spans="1:10" ht="51.75" customHeight="1" x14ac:dyDescent="0.3">
      <c r="A7" s="7" t="s">
        <v>21</v>
      </c>
      <c r="B7" s="3" t="s">
        <v>22</v>
      </c>
      <c r="C7" s="4" t="s">
        <v>23</v>
      </c>
      <c r="D7" s="4" t="s">
        <v>24</v>
      </c>
      <c r="E7" s="4" t="s">
        <v>25</v>
      </c>
      <c r="F7" s="5" t="s">
        <v>26</v>
      </c>
      <c r="G7" s="4" t="s">
        <v>27</v>
      </c>
      <c r="H7" s="4"/>
      <c r="I7" s="4"/>
      <c r="J7" s="8" t="s">
        <v>28</v>
      </c>
    </row>
    <row r="8" spans="1:10" ht="51.75" customHeight="1" x14ac:dyDescent="0.3">
      <c r="A8" s="9" t="s">
        <v>29</v>
      </c>
      <c r="B8" s="3" t="s">
        <v>30</v>
      </c>
      <c r="C8" s="4" t="s">
        <v>31</v>
      </c>
      <c r="D8" s="4" t="s">
        <v>32</v>
      </c>
      <c r="E8" s="4" t="s">
        <v>33</v>
      </c>
      <c r="F8" s="5"/>
      <c r="G8" s="4"/>
      <c r="H8" s="4"/>
      <c r="I8" s="4"/>
      <c r="J8" s="8"/>
    </row>
    <row r="9" spans="1:10" ht="51.75" customHeight="1" x14ac:dyDescent="0.3">
      <c r="A9" s="10" t="s">
        <v>34</v>
      </c>
      <c r="B9" s="3" t="s">
        <v>35</v>
      </c>
      <c r="C9" s="4" t="s">
        <v>36</v>
      </c>
      <c r="D9" s="4" t="s">
        <v>37</v>
      </c>
      <c r="E9" s="4" t="s">
        <v>38</v>
      </c>
      <c r="F9" s="5" t="s">
        <v>39</v>
      </c>
      <c r="G9" s="4" t="s">
        <v>40</v>
      </c>
      <c r="H9" s="4"/>
      <c r="I9" s="4"/>
      <c r="J9" s="8" t="s">
        <v>28</v>
      </c>
    </row>
    <row r="10" spans="1:10" ht="51.75" customHeight="1" x14ac:dyDescent="0.3">
      <c r="A10" s="11" t="s">
        <v>41</v>
      </c>
      <c r="B10" s="3" t="s">
        <v>42</v>
      </c>
      <c r="C10" s="4" t="s">
        <v>43</v>
      </c>
      <c r="D10" s="4" t="s">
        <v>44</v>
      </c>
      <c r="E10" s="4" t="s">
        <v>45</v>
      </c>
      <c r="F10" s="5" t="s">
        <v>46</v>
      </c>
      <c r="G10" s="4" t="s">
        <v>47</v>
      </c>
      <c r="H10" s="4"/>
      <c r="I10" s="4"/>
      <c r="J10" s="8" t="s">
        <v>28</v>
      </c>
    </row>
    <row r="11" spans="1:10" ht="51.75" customHeight="1" x14ac:dyDescent="0.3">
      <c r="A11" s="11" t="s">
        <v>48</v>
      </c>
      <c r="B11" s="4"/>
      <c r="C11" s="4"/>
      <c r="D11" s="4"/>
      <c r="E11" s="4"/>
      <c r="F11" s="13"/>
      <c r="G11" s="4"/>
      <c r="H11" s="4"/>
      <c r="I11" s="4"/>
      <c r="J11" s="12"/>
    </row>
    <row r="12" spans="1:10" ht="51.75" customHeight="1" x14ac:dyDescent="0.3">
      <c r="A12" s="11"/>
      <c r="B12" s="4"/>
      <c r="C12" s="4"/>
      <c r="D12" s="4"/>
      <c r="E12" s="4"/>
      <c r="F12" s="13"/>
      <c r="G12" s="4"/>
      <c r="H12" s="4"/>
      <c r="I12" s="4"/>
      <c r="J12" s="12"/>
    </row>
    <row r="13" spans="1:10" ht="51.75" customHeight="1" x14ac:dyDescent="0.3">
      <c r="A13" s="12"/>
      <c r="B13" s="4"/>
      <c r="C13" s="4"/>
      <c r="D13" s="4"/>
      <c r="E13" s="4"/>
      <c r="F13" s="13"/>
      <c r="G13" s="4"/>
      <c r="H13" s="4"/>
      <c r="I13" s="4"/>
      <c r="J13" s="12"/>
    </row>
    <row r="14" spans="1:10" ht="51.75" customHeight="1" x14ac:dyDescent="0.3">
      <c r="A14" s="12"/>
      <c r="B14" s="4"/>
      <c r="C14" s="4"/>
      <c r="D14" s="4"/>
      <c r="E14" s="4"/>
      <c r="F14" s="13"/>
      <c r="G14" s="4"/>
      <c r="H14" s="4"/>
      <c r="I14" s="4"/>
      <c r="J14" s="12"/>
    </row>
    <row r="15" spans="1:10" ht="51.75" customHeight="1" x14ac:dyDescent="0.3">
      <c r="A15" s="12"/>
      <c r="B15" s="4"/>
      <c r="C15" s="4"/>
      <c r="D15" s="4"/>
      <c r="E15" s="4"/>
      <c r="F15" s="13"/>
      <c r="G15" s="4"/>
      <c r="H15" s="4"/>
      <c r="I15" s="4"/>
      <c r="J15" s="12"/>
    </row>
    <row r="16" spans="1:10" ht="51.75" customHeight="1" x14ac:dyDescent="0.3">
      <c r="A16" s="12"/>
      <c r="B16" s="4"/>
      <c r="C16" s="4"/>
      <c r="D16" s="4"/>
      <c r="E16" s="4"/>
      <c r="F16" s="13"/>
      <c r="G16" s="4"/>
      <c r="H16" s="4"/>
      <c r="I16" s="4"/>
      <c r="J16" s="12"/>
    </row>
    <row r="17" spans="1:10" ht="51.75" customHeight="1" x14ac:dyDescent="0.3">
      <c r="A17" s="12"/>
      <c r="B17" s="4"/>
      <c r="C17" s="4"/>
      <c r="D17" s="4"/>
      <c r="E17" s="4"/>
      <c r="F17" s="13"/>
      <c r="G17" s="4"/>
      <c r="H17" s="4"/>
      <c r="I17" s="4"/>
      <c r="J17" s="12"/>
    </row>
    <row r="18" spans="1:10" ht="51.75" customHeight="1" x14ac:dyDescent="0.3">
      <c r="A18" s="12"/>
      <c r="B18" s="4"/>
      <c r="C18" s="4"/>
      <c r="D18" s="4"/>
      <c r="E18" s="4"/>
      <c r="F18" s="13"/>
      <c r="G18" s="4"/>
      <c r="H18" s="4"/>
      <c r="I18" s="4"/>
      <c r="J18" s="12"/>
    </row>
    <row r="19" spans="1:10" ht="51.75" customHeight="1" x14ac:dyDescent="0.3">
      <c r="A19" s="12"/>
      <c r="B19" s="4"/>
      <c r="C19" s="4"/>
      <c r="D19" s="4"/>
      <c r="E19" s="4"/>
      <c r="F19" s="13"/>
      <c r="G19" s="4"/>
      <c r="H19" s="4"/>
      <c r="I19" s="4"/>
      <c r="J19" s="12"/>
    </row>
    <row r="20" spans="1:10" ht="51.75" customHeight="1" x14ac:dyDescent="0.3">
      <c r="A20" s="12"/>
      <c r="B20" s="4"/>
      <c r="C20" s="4"/>
      <c r="D20" s="4"/>
      <c r="E20" s="4"/>
      <c r="F20" s="13"/>
      <c r="G20" s="4"/>
      <c r="H20" s="4"/>
      <c r="I20" s="4"/>
      <c r="J20" s="12"/>
    </row>
    <row r="21" spans="1:10" ht="51.75" customHeight="1" x14ac:dyDescent="0.3">
      <c r="A21" s="12"/>
      <c r="B21" s="4"/>
      <c r="C21" s="4"/>
      <c r="D21" s="4"/>
      <c r="E21" s="4"/>
      <c r="F21" s="13"/>
      <c r="G21" s="4"/>
      <c r="H21" s="4"/>
      <c r="I21" s="4"/>
      <c r="J21" s="12"/>
    </row>
    <row r="22" spans="1:10" ht="51.75" customHeight="1" x14ac:dyDescent="0.3">
      <c r="A22" s="12"/>
      <c r="B22" s="4"/>
      <c r="C22" s="4"/>
      <c r="D22" s="4"/>
      <c r="E22" s="4"/>
      <c r="F22" s="13"/>
      <c r="G22" s="4"/>
      <c r="H22" s="4"/>
      <c r="I22" s="4"/>
      <c r="J22" s="12"/>
    </row>
    <row r="23" spans="1:10" ht="51.75" customHeight="1" x14ac:dyDescent="0.3">
      <c r="A23" s="12"/>
      <c r="B23" s="4"/>
      <c r="C23" s="4"/>
      <c r="D23" s="4"/>
      <c r="E23" s="4"/>
      <c r="F23" s="13"/>
      <c r="G23" s="4"/>
      <c r="H23" s="4"/>
      <c r="I23" s="4"/>
      <c r="J23" s="12"/>
    </row>
    <row r="24" spans="1:10" ht="51.75" customHeight="1" x14ac:dyDescent="0.3">
      <c r="A24" s="12"/>
      <c r="B24" s="4"/>
      <c r="C24" s="4"/>
      <c r="D24" s="4"/>
      <c r="E24" s="4"/>
      <c r="F24" s="13"/>
      <c r="G24" s="4"/>
      <c r="H24" s="4"/>
      <c r="I24" s="4"/>
      <c r="J24" s="12"/>
    </row>
    <row r="25" spans="1:10" ht="51.75" customHeight="1" x14ac:dyDescent="0.3">
      <c r="A25" s="12"/>
      <c r="B25" s="4"/>
      <c r="C25" s="4"/>
      <c r="D25" s="4"/>
      <c r="E25" s="4"/>
      <c r="F25" s="13"/>
      <c r="G25" s="4"/>
      <c r="H25" s="4"/>
      <c r="I25" s="4"/>
      <c r="J25" s="12"/>
    </row>
  </sheetData>
  <mergeCells count="3">
    <mergeCell ref="A1:J1"/>
    <mergeCell ref="A2:J2"/>
    <mergeCell ref="A3:J3"/>
  </mergeCells>
  <conditionalFormatting sqref="A6:J205">
    <cfRule type="expression" dxfId="1" priority="2">
      <formula>$J6="Blocked"</formula>
    </cfRule>
    <cfRule type="expression" dxfId="0" priority="3">
      <formula>$J6="Complete"</formula>
    </cfRule>
  </conditionalFormatting>
  <dataValidations count="3">
    <dataValidation type="list" allowBlank="1" sqref="A6:A205" xr:uid="{00000000-0002-0000-0000-000000000000}">
      <formula1>"T1 Device,T2 SaaS,T3 AI Agents,T4 Manufacturing,T5 Distribution,T6 Service,T7 Business"</formula1>
      <formula2>0</formula2>
    </dataValidation>
    <dataValidation type="list" allowBlank="1" sqref="J6:J205" xr:uid="{00000000-0002-0000-0000-000001000000}">
      <formula1>"Not Started,In Progress,Complete,Blocked,Inconclusive"</formula1>
      <formula2>0</formula2>
    </dataValidation>
    <dataValidation type="date" operator="greaterThan" allowBlank="1" sqref="F6:F205" xr:uid="{00000000-0002-0000-0000-000002000000}">
      <formula1>DATE(2026,1,1)</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2"/>
  <sheetViews>
    <sheetView showGridLines="0" tabSelected="1" zoomScaleNormal="100" workbookViewId="0">
      <pane ySplit="4" topLeftCell="A5" activePane="bottomLeft" state="frozen"/>
      <selection pane="bottomLeft" activeCell="A16" sqref="A16:XFD16"/>
    </sheetView>
  </sheetViews>
  <sheetFormatPr defaultColWidth="8.6640625" defaultRowHeight="14.4" x14ac:dyDescent="0.3"/>
  <cols>
    <col min="1" max="1" width="8.6640625" customWidth="1"/>
    <col min="2" max="2" width="12" customWidth="1"/>
    <col min="3" max="3" width="28" customWidth="1"/>
    <col min="4" max="4" width="13" customWidth="1"/>
    <col min="5" max="5" width="24.33203125" customWidth="1"/>
    <col min="6" max="6" width="37.109375" customWidth="1"/>
    <col min="7" max="7" width="30.33203125" customWidth="1"/>
    <col min="8" max="8" width="40.77734375" customWidth="1"/>
    <col min="9" max="9" width="12" customWidth="1"/>
    <col min="10" max="10" width="27.33203125" customWidth="1"/>
    <col min="11" max="11" width="38" customWidth="1"/>
    <col min="12" max="12" width="30" customWidth="1"/>
    <col min="13" max="13" width="14" customWidth="1"/>
    <col min="15" max="15" width="2" customWidth="1"/>
    <col min="16" max="16" width="22" customWidth="1"/>
    <col min="17" max="17" width="12" customWidth="1"/>
  </cols>
  <sheetData>
    <row r="1" spans="1:17" ht="27.75" customHeight="1" x14ac:dyDescent="0.3">
      <c r="A1" s="25" t="s">
        <v>49</v>
      </c>
      <c r="B1" s="25"/>
      <c r="C1" s="25"/>
      <c r="D1" s="25"/>
      <c r="E1" s="25"/>
      <c r="F1" s="25"/>
      <c r="G1" s="25"/>
      <c r="H1" s="25"/>
      <c r="I1" s="25"/>
      <c r="J1" s="25"/>
      <c r="K1" s="25"/>
      <c r="L1" s="25"/>
    </row>
    <row r="2" spans="1:17" ht="15.75" customHeight="1" x14ac:dyDescent="0.3">
      <c r="A2" s="26" t="s">
        <v>50</v>
      </c>
      <c r="B2" s="26"/>
      <c r="C2" s="26"/>
      <c r="D2" s="26"/>
      <c r="E2" s="26"/>
      <c r="F2" s="26"/>
      <c r="G2" s="26"/>
      <c r="H2" s="26"/>
      <c r="I2" s="26"/>
      <c r="J2" s="26"/>
      <c r="K2" s="26"/>
      <c r="L2" s="26"/>
    </row>
    <row r="3" spans="1:17" ht="3.75" customHeight="1" x14ac:dyDescent="0.3"/>
    <row r="4" spans="1:17" ht="21.75" customHeight="1" x14ac:dyDescent="0.3">
      <c r="A4" s="1" t="s">
        <v>51</v>
      </c>
      <c r="B4" s="1" t="s">
        <v>3</v>
      </c>
      <c r="C4" s="1" t="s">
        <v>4</v>
      </c>
      <c r="D4" s="1" t="s">
        <v>52</v>
      </c>
      <c r="E4" s="1" t="s">
        <v>53</v>
      </c>
      <c r="F4" s="1" t="s">
        <v>5</v>
      </c>
      <c r="G4" s="1" t="s">
        <v>6</v>
      </c>
      <c r="H4" s="1" t="s">
        <v>7</v>
      </c>
      <c r="I4" s="31" t="s">
        <v>8</v>
      </c>
      <c r="J4" s="1" t="s">
        <v>9</v>
      </c>
      <c r="K4" s="1" t="s">
        <v>54</v>
      </c>
      <c r="L4" s="1" t="s">
        <v>11</v>
      </c>
      <c r="M4" s="1" t="s">
        <v>12</v>
      </c>
      <c r="P4" s="1" t="s">
        <v>55</v>
      </c>
      <c r="Q4" s="1" t="s">
        <v>56</v>
      </c>
    </row>
    <row r="5" spans="1:17" ht="48" customHeight="1" x14ac:dyDescent="0.3">
      <c r="A5" s="4" t="s">
        <v>57</v>
      </c>
      <c r="B5" s="4" t="s">
        <v>58</v>
      </c>
      <c r="C5" s="4" t="s">
        <v>59</v>
      </c>
      <c r="D5" s="4"/>
      <c r="E5" s="4"/>
      <c r="F5" s="4" t="s">
        <v>60</v>
      </c>
      <c r="G5" s="4" t="s">
        <v>61</v>
      </c>
      <c r="H5" s="4" t="s">
        <v>62</v>
      </c>
      <c r="I5" s="13" t="s">
        <v>63</v>
      </c>
      <c r="J5" s="4" t="s">
        <v>64</v>
      </c>
      <c r="K5" s="4" t="s">
        <v>65</v>
      </c>
      <c r="L5" s="4"/>
      <c r="M5" s="14" t="s">
        <v>28</v>
      </c>
      <c r="P5" s="14" t="s">
        <v>28</v>
      </c>
      <c r="Q5" s="15">
        <f>COUNTIF(M5:M508,"Not Started")</f>
        <v>6</v>
      </c>
    </row>
    <row r="6" spans="1:17" ht="48" customHeight="1" x14ac:dyDescent="0.3">
      <c r="A6" s="4" t="s">
        <v>66</v>
      </c>
      <c r="B6" s="4" t="s">
        <v>67</v>
      </c>
      <c r="C6" s="4" t="s">
        <v>68</v>
      </c>
      <c r="D6" s="4"/>
      <c r="E6" s="4"/>
      <c r="F6" s="4" t="s">
        <v>69</v>
      </c>
      <c r="G6" s="4" t="s">
        <v>70</v>
      </c>
      <c r="H6" s="4" t="s">
        <v>71</v>
      </c>
      <c r="I6" s="13">
        <v>46187</v>
      </c>
      <c r="J6" s="4"/>
      <c r="K6" s="4"/>
      <c r="L6" s="4" t="s">
        <v>72</v>
      </c>
      <c r="M6" s="16" t="s">
        <v>20</v>
      </c>
      <c r="P6" s="16" t="s">
        <v>20</v>
      </c>
      <c r="Q6" s="15">
        <f>COUNTIF(M5:M508,"In Progress")</f>
        <v>4</v>
      </c>
    </row>
    <row r="7" spans="1:17" ht="48" customHeight="1" x14ac:dyDescent="0.3">
      <c r="A7" s="4" t="s">
        <v>66</v>
      </c>
      <c r="B7" s="4" t="s">
        <v>67</v>
      </c>
      <c r="C7" s="4" t="s">
        <v>73</v>
      </c>
      <c r="D7" s="4"/>
      <c r="E7" s="4"/>
      <c r="F7" s="4"/>
      <c r="G7" s="4"/>
      <c r="H7" s="4"/>
      <c r="I7" s="13"/>
      <c r="J7" s="4"/>
      <c r="K7" s="4"/>
      <c r="L7" s="4"/>
      <c r="M7" s="4"/>
      <c r="P7" s="17" t="s">
        <v>74</v>
      </c>
      <c r="Q7" s="15">
        <f>COUNTIF(M5:M508,"Complete")</f>
        <v>0</v>
      </c>
    </row>
    <row r="8" spans="1:17" ht="48" customHeight="1" x14ac:dyDescent="0.3">
      <c r="A8" s="4" t="s">
        <v>75</v>
      </c>
      <c r="B8" s="4" t="s">
        <v>67</v>
      </c>
      <c r="C8" s="4" t="s">
        <v>76</v>
      </c>
      <c r="D8" s="4" t="s">
        <v>77</v>
      </c>
      <c r="E8" s="4"/>
      <c r="F8" s="4" t="s">
        <v>78</v>
      </c>
      <c r="G8" s="4" t="s">
        <v>79</v>
      </c>
      <c r="H8" s="4" t="s">
        <v>80</v>
      </c>
      <c r="I8" s="13"/>
      <c r="J8" s="4" t="s">
        <v>81</v>
      </c>
      <c r="K8" s="4"/>
      <c r="L8" s="4"/>
      <c r="M8" s="4" t="s">
        <v>20</v>
      </c>
      <c r="P8" s="18" t="s">
        <v>82</v>
      </c>
      <c r="Q8" s="15">
        <f>COUNTIF(M5:M508,"Blocked")</f>
        <v>0</v>
      </c>
    </row>
    <row r="9" spans="1:17" ht="48" customHeight="1" x14ac:dyDescent="0.3">
      <c r="A9" s="4" t="s">
        <v>75</v>
      </c>
      <c r="B9" s="4" t="s">
        <v>67</v>
      </c>
      <c r="C9" s="4" t="s">
        <v>83</v>
      </c>
      <c r="D9" s="4" t="s">
        <v>77</v>
      </c>
      <c r="E9" s="4"/>
      <c r="F9" s="4" t="s">
        <v>84</v>
      </c>
      <c r="G9" s="4"/>
      <c r="H9" s="4"/>
      <c r="I9" s="13"/>
      <c r="J9" s="4"/>
      <c r="K9" s="4"/>
      <c r="L9" s="4"/>
      <c r="M9" s="4" t="s">
        <v>20</v>
      </c>
      <c r="P9" s="19" t="s">
        <v>85</v>
      </c>
      <c r="Q9" s="15">
        <f>COUNTIF(M5:M508,"Inconclusive")</f>
        <v>0</v>
      </c>
    </row>
    <row r="10" spans="1:17" ht="107.4" customHeight="1" x14ac:dyDescent="0.3">
      <c r="A10" s="4" t="s">
        <v>86</v>
      </c>
      <c r="B10" s="4" t="s">
        <v>67</v>
      </c>
      <c r="C10" s="30" t="s">
        <v>130</v>
      </c>
      <c r="D10" s="4" t="s">
        <v>77</v>
      </c>
      <c r="E10" s="4"/>
      <c r="F10" s="30" t="s">
        <v>131</v>
      </c>
      <c r="G10" s="30" t="s">
        <v>132</v>
      </c>
      <c r="H10" s="30" t="s">
        <v>133</v>
      </c>
      <c r="I10" s="13">
        <v>46310</v>
      </c>
      <c r="J10" s="4" t="s">
        <v>87</v>
      </c>
      <c r="K10" s="4"/>
      <c r="L10" s="4"/>
      <c r="M10" s="4" t="s">
        <v>28</v>
      </c>
      <c r="P10" s="20" t="s">
        <v>88</v>
      </c>
      <c r="Q10" s="21">
        <f>SUM(Q5:Q9)</f>
        <v>10</v>
      </c>
    </row>
    <row r="11" spans="1:17" ht="48" customHeight="1" x14ac:dyDescent="0.3">
      <c r="A11" s="4" t="s">
        <v>89</v>
      </c>
      <c r="B11" s="4" t="s">
        <v>67</v>
      </c>
      <c r="C11" s="30" t="s">
        <v>134</v>
      </c>
      <c r="D11" s="4" t="s">
        <v>77</v>
      </c>
      <c r="E11" s="4"/>
      <c r="F11" s="30" t="s">
        <v>141</v>
      </c>
      <c r="G11" s="30" t="s">
        <v>135</v>
      </c>
      <c r="H11" s="30" t="s">
        <v>136</v>
      </c>
      <c r="I11" s="13"/>
      <c r="J11" s="4"/>
      <c r="K11" s="4"/>
      <c r="L11" s="4"/>
      <c r="M11" s="4" t="s">
        <v>28</v>
      </c>
    </row>
    <row r="12" spans="1:17" ht="93" customHeight="1" x14ac:dyDescent="0.3">
      <c r="A12" s="4" t="s">
        <v>89</v>
      </c>
      <c r="B12" s="4" t="s">
        <v>67</v>
      </c>
      <c r="C12" s="4" t="s">
        <v>90</v>
      </c>
      <c r="D12" s="4" t="s">
        <v>77</v>
      </c>
      <c r="E12" s="4"/>
      <c r="F12" s="30" t="s">
        <v>137</v>
      </c>
      <c r="G12" s="30" t="s">
        <v>125</v>
      </c>
      <c r="H12" s="30" t="s">
        <v>138</v>
      </c>
      <c r="I12" s="13"/>
      <c r="J12" s="4"/>
      <c r="K12" s="4"/>
      <c r="L12" s="4"/>
      <c r="M12" s="4" t="s">
        <v>28</v>
      </c>
    </row>
    <row r="13" spans="1:17" ht="48" customHeight="1" x14ac:dyDescent="0.3">
      <c r="A13" s="4" t="s">
        <v>75</v>
      </c>
      <c r="B13" s="4" t="s">
        <v>67</v>
      </c>
      <c r="C13" s="4" t="s">
        <v>139</v>
      </c>
      <c r="D13" s="4" t="s">
        <v>77</v>
      </c>
      <c r="E13" s="4"/>
      <c r="F13" s="4" t="s">
        <v>140</v>
      </c>
      <c r="G13" s="30" t="s">
        <v>135</v>
      </c>
      <c r="H13" s="30" t="s">
        <v>142</v>
      </c>
      <c r="I13" s="13"/>
      <c r="J13" s="4"/>
      <c r="K13" s="4"/>
      <c r="L13" s="4"/>
      <c r="M13" s="4" t="s">
        <v>28</v>
      </c>
    </row>
    <row r="14" spans="1:17" ht="48" customHeight="1" x14ac:dyDescent="0.3">
      <c r="A14" s="4" t="s">
        <v>89</v>
      </c>
      <c r="B14" s="4" t="s">
        <v>67</v>
      </c>
      <c r="C14" s="4" t="s">
        <v>91</v>
      </c>
      <c r="D14" s="4" t="s">
        <v>77</v>
      </c>
      <c r="E14" s="4"/>
      <c r="F14" s="4" t="s">
        <v>92</v>
      </c>
      <c r="G14" s="4"/>
      <c r="H14" s="4"/>
      <c r="I14" s="13"/>
      <c r="J14" s="4"/>
      <c r="K14" s="4"/>
      <c r="L14" s="4"/>
      <c r="M14" s="4" t="s">
        <v>28</v>
      </c>
    </row>
    <row r="15" spans="1:17" ht="77.400000000000006" customHeight="1" x14ac:dyDescent="0.3">
      <c r="A15" s="4" t="s">
        <v>86</v>
      </c>
      <c r="B15" s="4" t="s">
        <v>67</v>
      </c>
      <c r="C15" s="4" t="s">
        <v>93</v>
      </c>
      <c r="D15" s="4" t="s">
        <v>77</v>
      </c>
      <c r="E15" s="4"/>
      <c r="F15" s="4" t="s">
        <v>143</v>
      </c>
      <c r="G15" s="4" t="s">
        <v>144</v>
      </c>
      <c r="H15" s="4" t="s">
        <v>143</v>
      </c>
      <c r="I15" s="13"/>
      <c r="J15" s="4"/>
      <c r="K15" s="4"/>
      <c r="L15" s="4"/>
      <c r="M15" s="4" t="s">
        <v>20</v>
      </c>
    </row>
    <row r="16" spans="1:17" ht="67.8" customHeight="1" x14ac:dyDescent="0.3">
      <c r="B16" s="4"/>
      <c r="C16" s="4" t="s">
        <v>114</v>
      </c>
      <c r="D16" s="4" t="s">
        <v>77</v>
      </c>
      <c r="E16" s="4"/>
      <c r="F16" s="4" t="s">
        <v>115</v>
      </c>
      <c r="H16" s="4"/>
      <c r="I16" s="13"/>
      <c r="J16" s="4"/>
      <c r="K16" s="4"/>
      <c r="L16" s="4"/>
      <c r="M16" s="4"/>
    </row>
    <row r="17" spans="1:13" ht="48" customHeight="1" x14ac:dyDescent="0.3">
      <c r="B17" s="4"/>
      <c r="C17" s="4" t="s">
        <v>116</v>
      </c>
      <c r="D17" s="4" t="s">
        <v>77</v>
      </c>
      <c r="E17" s="4"/>
      <c r="F17" s="4" t="s">
        <v>117</v>
      </c>
      <c r="H17" s="4"/>
      <c r="I17" s="13"/>
      <c r="J17" s="4"/>
      <c r="K17" s="4"/>
      <c r="L17" s="4"/>
      <c r="M17" s="4"/>
    </row>
    <row r="18" spans="1:13" ht="48" customHeight="1" x14ac:dyDescent="0.3">
      <c r="B18" s="4"/>
      <c r="C18" s="4" t="s">
        <v>118</v>
      </c>
      <c r="D18" s="4" t="s">
        <v>77</v>
      </c>
      <c r="E18" s="4"/>
      <c r="F18" s="4" t="s">
        <v>119</v>
      </c>
      <c r="H18" s="4"/>
      <c r="I18" s="13"/>
      <c r="J18" s="4"/>
      <c r="K18" s="4"/>
      <c r="L18" s="4"/>
      <c r="M18" s="4"/>
    </row>
    <row r="19" spans="1:13" ht="48" customHeight="1" x14ac:dyDescent="0.3">
      <c r="B19" s="4"/>
      <c r="C19" s="4" t="s">
        <v>120</v>
      </c>
      <c r="D19" s="4" t="s">
        <v>77</v>
      </c>
      <c r="E19" s="4"/>
      <c r="F19" s="4"/>
      <c r="G19" s="4"/>
      <c r="H19" s="4"/>
      <c r="I19" s="13"/>
      <c r="J19" s="4"/>
      <c r="K19" s="4"/>
      <c r="L19" s="4"/>
      <c r="M19" s="4"/>
    </row>
    <row r="20" spans="1:13" ht="48" customHeight="1" x14ac:dyDescent="0.3">
      <c r="B20" s="4"/>
      <c r="C20" s="4" t="s">
        <v>121</v>
      </c>
      <c r="D20" s="4" t="s">
        <v>77</v>
      </c>
      <c r="E20" s="4"/>
      <c r="F20" s="4" t="s">
        <v>122</v>
      </c>
      <c r="H20" s="4"/>
      <c r="I20" s="13"/>
      <c r="J20" s="4"/>
      <c r="K20" s="4"/>
      <c r="L20" s="4"/>
      <c r="M20" s="4"/>
    </row>
    <row r="21" spans="1:13" ht="48" customHeight="1" x14ac:dyDescent="0.3">
      <c r="B21" s="4"/>
      <c r="C21" s="4" t="s">
        <v>123</v>
      </c>
      <c r="D21" s="4" t="s">
        <v>77</v>
      </c>
      <c r="E21" s="4"/>
      <c r="F21" s="4" t="s">
        <v>124</v>
      </c>
      <c r="H21" s="4"/>
      <c r="I21" s="13"/>
      <c r="J21" s="4"/>
      <c r="K21" s="4"/>
      <c r="L21" s="4"/>
      <c r="M21" s="4"/>
    </row>
    <row r="22" spans="1:13" ht="48" customHeight="1" x14ac:dyDescent="0.3">
      <c r="B22" s="4"/>
      <c r="C22" s="4" t="s">
        <v>126</v>
      </c>
      <c r="D22" s="4" t="s">
        <v>77</v>
      </c>
      <c r="E22" s="4"/>
      <c r="F22" s="4" t="s">
        <v>127</v>
      </c>
      <c r="H22" s="4"/>
      <c r="I22" s="13"/>
      <c r="J22" s="4"/>
      <c r="K22" s="4"/>
      <c r="L22" s="4"/>
      <c r="M22" s="4"/>
    </row>
    <row r="23" spans="1:13" ht="48" customHeight="1" x14ac:dyDescent="0.3">
      <c r="B23" s="4"/>
      <c r="C23" s="4" t="s">
        <v>128</v>
      </c>
      <c r="D23" s="4" t="s">
        <v>77</v>
      </c>
      <c r="E23" s="4"/>
      <c r="F23" s="4" t="s">
        <v>129</v>
      </c>
      <c r="H23" s="4"/>
      <c r="I23" s="13"/>
      <c r="J23" s="4"/>
      <c r="K23" s="4"/>
      <c r="L23" s="4"/>
      <c r="M23" s="4"/>
    </row>
    <row r="24" spans="1:13" ht="48" customHeight="1" x14ac:dyDescent="0.3">
      <c r="A24" s="4"/>
      <c r="B24" s="4"/>
      <c r="C24" s="4"/>
      <c r="D24" s="4"/>
      <c r="E24" s="4"/>
      <c r="F24" s="4"/>
      <c r="G24" s="4"/>
      <c r="H24" s="4"/>
      <c r="I24" s="13"/>
      <c r="J24" s="4"/>
      <c r="K24" s="4"/>
      <c r="L24" s="4"/>
      <c r="M24" s="4"/>
    </row>
    <row r="25" spans="1:13" ht="48" customHeight="1" x14ac:dyDescent="0.3">
      <c r="A25" s="4"/>
      <c r="B25" s="4"/>
      <c r="C25" s="4"/>
      <c r="D25" s="4"/>
      <c r="E25" s="4"/>
      <c r="F25" s="4"/>
      <c r="G25" s="4"/>
      <c r="H25" s="4"/>
      <c r="I25" s="13"/>
      <c r="J25" s="4"/>
      <c r="K25" s="4"/>
      <c r="L25" s="4"/>
      <c r="M25" s="4"/>
    </row>
    <row r="26" spans="1:13" ht="48" customHeight="1" x14ac:dyDescent="0.3">
      <c r="A26" s="4"/>
      <c r="B26" s="4"/>
      <c r="C26" s="4"/>
      <c r="D26" s="4"/>
      <c r="E26" s="4"/>
      <c r="F26" s="4"/>
      <c r="G26" s="4"/>
      <c r="H26" s="4"/>
      <c r="I26" s="13"/>
      <c r="J26" s="4"/>
      <c r="K26" s="4"/>
      <c r="L26" s="4"/>
      <c r="M26" s="4"/>
    </row>
    <row r="27" spans="1:13" ht="48" customHeight="1" x14ac:dyDescent="0.3">
      <c r="A27" s="4"/>
      <c r="B27" s="4"/>
      <c r="C27" s="4"/>
      <c r="D27" s="4"/>
      <c r="E27" s="4"/>
      <c r="F27" s="4"/>
      <c r="G27" s="4"/>
      <c r="H27" s="4"/>
      <c r="I27" s="13"/>
      <c r="J27" s="4"/>
      <c r="K27" s="4"/>
      <c r="L27" s="4"/>
      <c r="M27" s="4"/>
    </row>
    <row r="28" spans="1:13" ht="48" customHeight="1" x14ac:dyDescent="0.3">
      <c r="A28" s="4"/>
      <c r="B28" s="4"/>
      <c r="C28" s="4"/>
      <c r="D28" s="4"/>
      <c r="E28" s="4"/>
      <c r="F28" s="4"/>
      <c r="G28" s="4"/>
      <c r="H28" s="4"/>
      <c r="I28" s="13"/>
      <c r="J28" s="4"/>
      <c r="K28" s="4"/>
      <c r="L28" s="4"/>
      <c r="M28" s="4"/>
    </row>
    <row r="29" spans="1:13" ht="48" customHeight="1" x14ac:dyDescent="0.3">
      <c r="A29" s="4"/>
      <c r="B29" s="4"/>
      <c r="C29" s="4"/>
      <c r="D29" s="4"/>
      <c r="E29" s="4"/>
      <c r="F29" s="4"/>
      <c r="G29" s="4"/>
      <c r="H29" s="4"/>
      <c r="I29" s="13"/>
      <c r="J29" s="4"/>
      <c r="K29" s="4"/>
      <c r="L29" s="4"/>
      <c r="M29" s="4"/>
    </row>
    <row r="30" spans="1:13" ht="48" customHeight="1" x14ac:dyDescent="0.3">
      <c r="A30" s="4"/>
      <c r="B30" s="4"/>
      <c r="C30" s="4"/>
      <c r="D30" s="4"/>
      <c r="E30" s="4"/>
      <c r="F30" s="4"/>
      <c r="G30" s="4"/>
      <c r="H30" s="4"/>
      <c r="I30" s="13"/>
      <c r="J30" s="4"/>
      <c r="K30" s="4"/>
      <c r="L30" s="4"/>
      <c r="M30" s="4"/>
    </row>
    <row r="31" spans="1:13" ht="48" customHeight="1" x14ac:dyDescent="0.3">
      <c r="A31" s="4"/>
      <c r="B31" s="4"/>
      <c r="C31" s="4"/>
      <c r="D31" s="4"/>
      <c r="E31" s="4"/>
      <c r="F31" s="4"/>
      <c r="G31" s="4"/>
      <c r="H31" s="4"/>
      <c r="I31" s="13"/>
      <c r="J31" s="4"/>
      <c r="K31" s="4"/>
      <c r="L31" s="4"/>
      <c r="M31" s="4"/>
    </row>
    <row r="32" spans="1:13" ht="48" customHeight="1" x14ac:dyDescent="0.3">
      <c r="A32" s="4"/>
      <c r="B32" s="4"/>
      <c r="C32" s="4"/>
      <c r="D32" s="4"/>
      <c r="E32" s="4"/>
      <c r="F32" s="4"/>
      <c r="G32" s="4"/>
      <c r="H32" s="4"/>
      <c r="I32" s="13"/>
      <c r="J32" s="4"/>
      <c r="K32" s="4"/>
      <c r="L32" s="4"/>
      <c r="M32" s="4"/>
    </row>
    <row r="33" spans="1:13" ht="48" customHeight="1" x14ac:dyDescent="0.3">
      <c r="A33" s="4"/>
      <c r="B33" s="4"/>
      <c r="C33" s="4"/>
      <c r="D33" s="4"/>
      <c r="E33" s="4"/>
      <c r="F33" s="4"/>
      <c r="G33" s="4"/>
      <c r="H33" s="4"/>
      <c r="I33" s="13"/>
      <c r="J33" s="4"/>
      <c r="K33" s="4"/>
      <c r="L33" s="4"/>
      <c r="M33" s="4"/>
    </row>
    <row r="34" spans="1:13" ht="48" customHeight="1" x14ac:dyDescent="0.3">
      <c r="A34" s="4"/>
      <c r="B34" s="4"/>
      <c r="C34" s="4"/>
      <c r="D34" s="4"/>
      <c r="E34" s="4"/>
      <c r="F34" s="4"/>
      <c r="G34" s="4"/>
      <c r="H34" s="4"/>
      <c r="I34" s="13"/>
      <c r="J34" s="4"/>
      <c r="K34" s="4"/>
      <c r="L34" s="4"/>
      <c r="M34" s="4"/>
    </row>
    <row r="35" spans="1:13" ht="48" customHeight="1" x14ac:dyDescent="0.3">
      <c r="A35" s="4"/>
      <c r="B35" s="4"/>
      <c r="C35" s="4"/>
      <c r="D35" s="4"/>
      <c r="E35" s="4"/>
      <c r="F35" s="4"/>
      <c r="G35" s="4"/>
      <c r="H35" s="4"/>
      <c r="I35" s="13"/>
      <c r="J35" s="4"/>
      <c r="K35" s="4"/>
      <c r="L35" s="4"/>
      <c r="M35" s="4"/>
    </row>
    <row r="36" spans="1:13" ht="48" customHeight="1" x14ac:dyDescent="0.3">
      <c r="A36" s="4"/>
      <c r="B36" s="4"/>
      <c r="C36" s="4"/>
      <c r="D36" s="4"/>
      <c r="E36" s="4"/>
      <c r="F36" s="4"/>
      <c r="G36" s="4"/>
      <c r="H36" s="4"/>
      <c r="I36" s="13"/>
      <c r="J36" s="4"/>
      <c r="K36" s="4"/>
      <c r="L36" s="4"/>
      <c r="M36" s="4"/>
    </row>
    <row r="37" spans="1:13" ht="48" customHeight="1" x14ac:dyDescent="0.3">
      <c r="A37" s="4"/>
      <c r="B37" s="4"/>
      <c r="C37" s="4"/>
      <c r="D37" s="4"/>
      <c r="E37" s="4"/>
      <c r="F37" s="4"/>
      <c r="G37" s="4"/>
      <c r="H37" s="4"/>
      <c r="I37" s="13"/>
      <c r="J37" s="4"/>
      <c r="K37" s="4"/>
      <c r="L37" s="4"/>
      <c r="M37" s="4"/>
    </row>
    <row r="38" spans="1:13" ht="48" customHeight="1" x14ac:dyDescent="0.3">
      <c r="A38" s="4"/>
      <c r="B38" s="4"/>
      <c r="C38" s="4"/>
      <c r="D38" s="4"/>
      <c r="E38" s="4"/>
      <c r="F38" s="4"/>
      <c r="G38" s="4"/>
      <c r="H38" s="4"/>
      <c r="I38" s="13"/>
      <c r="J38" s="4"/>
      <c r="K38" s="4"/>
      <c r="L38" s="4"/>
      <c r="M38" s="4"/>
    </row>
    <row r="39" spans="1:13" ht="48" customHeight="1" x14ac:dyDescent="0.3">
      <c r="A39" s="4"/>
      <c r="B39" s="4"/>
      <c r="C39" s="4"/>
      <c r="D39" s="4"/>
      <c r="E39" s="4"/>
      <c r="F39" s="4"/>
      <c r="G39" s="4"/>
      <c r="H39" s="4"/>
      <c r="I39" s="13"/>
      <c r="J39" s="4"/>
      <c r="K39" s="4"/>
      <c r="L39" s="4"/>
      <c r="M39" s="4"/>
    </row>
    <row r="40" spans="1:13" ht="48" customHeight="1" x14ac:dyDescent="0.3">
      <c r="A40" s="4"/>
      <c r="B40" s="4"/>
      <c r="C40" s="4"/>
      <c r="D40" s="4"/>
      <c r="E40" s="4"/>
      <c r="F40" s="4"/>
      <c r="G40" s="4"/>
      <c r="H40" s="4"/>
      <c r="I40" s="13"/>
      <c r="J40" s="4"/>
      <c r="K40" s="4"/>
      <c r="L40" s="4"/>
      <c r="M40" s="4"/>
    </row>
    <row r="41" spans="1:13" ht="48" customHeight="1" x14ac:dyDescent="0.3">
      <c r="A41" s="4"/>
      <c r="B41" s="4"/>
      <c r="C41" s="4"/>
      <c r="D41" s="4"/>
      <c r="E41" s="4"/>
      <c r="F41" s="4"/>
      <c r="G41" s="4"/>
      <c r="H41" s="4"/>
      <c r="I41" s="13"/>
      <c r="J41" s="4"/>
      <c r="K41" s="4"/>
      <c r="L41" s="4"/>
      <c r="M41" s="4"/>
    </row>
    <row r="42" spans="1:13" ht="48" customHeight="1" x14ac:dyDescent="0.3">
      <c r="A42" s="4"/>
      <c r="B42" s="4"/>
      <c r="C42" s="4"/>
      <c r="D42" s="4"/>
      <c r="E42" s="4"/>
      <c r="F42" s="4"/>
      <c r="G42" s="4"/>
      <c r="H42" s="4"/>
      <c r="I42" s="13"/>
      <c r="J42" s="4"/>
      <c r="K42" s="4"/>
      <c r="L42" s="4"/>
      <c r="M42" s="4"/>
    </row>
    <row r="43" spans="1:13" ht="48" customHeight="1" x14ac:dyDescent="0.3">
      <c r="A43" s="4"/>
      <c r="B43" s="4"/>
      <c r="C43" s="4"/>
      <c r="D43" s="4"/>
      <c r="E43" s="4"/>
      <c r="F43" s="4"/>
      <c r="G43" s="4"/>
      <c r="H43" s="4"/>
      <c r="I43" s="13"/>
      <c r="J43" s="4"/>
      <c r="K43" s="4"/>
      <c r="L43" s="4"/>
      <c r="M43" s="4"/>
    </row>
    <row r="44" spans="1:13" ht="48" customHeight="1" x14ac:dyDescent="0.3">
      <c r="A44" s="4"/>
      <c r="B44" s="4"/>
      <c r="C44" s="4"/>
      <c r="D44" s="4"/>
      <c r="E44" s="4"/>
      <c r="F44" s="4"/>
      <c r="G44" s="4"/>
      <c r="H44" s="4"/>
      <c r="I44" s="13"/>
      <c r="J44" s="4"/>
      <c r="K44" s="4"/>
      <c r="L44" s="4"/>
      <c r="M44" s="4"/>
    </row>
    <row r="45" spans="1:13" ht="48" customHeight="1" x14ac:dyDescent="0.3">
      <c r="A45" s="4"/>
      <c r="B45" s="4"/>
      <c r="C45" s="4"/>
      <c r="D45" s="4"/>
      <c r="E45" s="4"/>
      <c r="F45" s="4"/>
      <c r="G45" s="4"/>
      <c r="H45" s="4"/>
      <c r="I45" s="13"/>
      <c r="J45" s="4"/>
      <c r="K45" s="4"/>
      <c r="L45" s="4"/>
      <c r="M45" s="4"/>
    </row>
    <row r="46" spans="1:13" ht="48" customHeight="1" x14ac:dyDescent="0.3">
      <c r="A46" s="4"/>
      <c r="B46" s="4"/>
      <c r="C46" s="4"/>
      <c r="D46" s="4"/>
      <c r="E46" s="4"/>
      <c r="F46" s="4"/>
      <c r="G46" s="4"/>
      <c r="H46" s="4"/>
      <c r="I46" s="13"/>
      <c r="J46" s="4"/>
      <c r="K46" s="4"/>
      <c r="L46" s="4"/>
      <c r="M46" s="4"/>
    </row>
    <row r="47" spans="1:13" ht="48" customHeight="1" x14ac:dyDescent="0.3">
      <c r="A47" s="4"/>
      <c r="B47" s="4"/>
      <c r="C47" s="4"/>
      <c r="D47" s="4"/>
      <c r="E47" s="4"/>
      <c r="F47" s="4"/>
      <c r="G47" s="4"/>
      <c r="H47" s="4"/>
      <c r="I47" s="13"/>
      <c r="J47" s="4"/>
      <c r="K47" s="4"/>
      <c r="L47" s="4"/>
      <c r="M47" s="4"/>
    </row>
    <row r="48" spans="1:13" ht="48" customHeight="1" x14ac:dyDescent="0.3">
      <c r="A48" s="4"/>
      <c r="B48" s="4"/>
      <c r="C48" s="4"/>
      <c r="D48" s="4"/>
      <c r="E48" s="4"/>
      <c r="F48" s="4"/>
      <c r="G48" s="4"/>
      <c r="H48" s="4"/>
      <c r="I48" s="13"/>
      <c r="J48" s="4"/>
      <c r="K48" s="4"/>
      <c r="L48" s="4"/>
      <c r="M48" s="4"/>
    </row>
    <row r="49" spans="1:13" ht="48" customHeight="1" x14ac:dyDescent="0.3">
      <c r="A49" s="4"/>
      <c r="B49" s="4"/>
      <c r="C49" s="4"/>
      <c r="D49" s="4"/>
      <c r="E49" s="4"/>
      <c r="F49" s="4"/>
      <c r="G49" s="4"/>
      <c r="H49" s="4"/>
      <c r="I49" s="13"/>
      <c r="J49" s="4"/>
      <c r="K49" s="4"/>
      <c r="L49" s="4"/>
      <c r="M49" s="4"/>
    </row>
    <row r="50" spans="1:13" ht="48" customHeight="1" x14ac:dyDescent="0.3">
      <c r="A50" s="4"/>
      <c r="B50" s="4"/>
      <c r="C50" s="4"/>
      <c r="D50" s="4"/>
      <c r="E50" s="4"/>
      <c r="F50" s="4"/>
      <c r="G50" s="4"/>
      <c r="H50" s="4"/>
      <c r="I50" s="13"/>
      <c r="J50" s="4"/>
      <c r="K50" s="4"/>
      <c r="L50" s="4"/>
      <c r="M50" s="4"/>
    </row>
    <row r="51" spans="1:13" ht="48" customHeight="1" x14ac:dyDescent="0.3">
      <c r="A51" s="4"/>
      <c r="B51" s="4"/>
      <c r="C51" s="4"/>
      <c r="D51" s="4"/>
      <c r="E51" s="4"/>
      <c r="F51" s="4"/>
      <c r="G51" s="4"/>
      <c r="H51" s="4"/>
      <c r="I51" s="13"/>
      <c r="J51" s="4"/>
      <c r="K51" s="4"/>
      <c r="L51" s="4"/>
      <c r="M51" s="4"/>
    </row>
    <row r="52" spans="1:13" ht="48" customHeight="1" x14ac:dyDescent="0.3">
      <c r="A52" s="4"/>
      <c r="B52" s="4"/>
      <c r="C52" s="4"/>
      <c r="D52" s="4"/>
      <c r="E52" s="4"/>
      <c r="F52" s="4"/>
      <c r="G52" s="4"/>
      <c r="H52" s="4"/>
      <c r="I52" s="13"/>
      <c r="J52" s="4"/>
      <c r="K52" s="4"/>
      <c r="L52" s="4"/>
      <c r="M52" s="4"/>
    </row>
    <row r="53" spans="1:13" ht="48" customHeight="1" x14ac:dyDescent="0.3">
      <c r="A53" s="4"/>
      <c r="B53" s="4"/>
      <c r="C53" s="4"/>
      <c r="D53" s="4"/>
      <c r="E53" s="4"/>
      <c r="F53" s="4"/>
      <c r="G53" s="4"/>
      <c r="H53" s="4"/>
      <c r="I53" s="13"/>
      <c r="J53" s="4"/>
      <c r="K53" s="4"/>
      <c r="L53" s="4"/>
      <c r="M53" s="4"/>
    </row>
    <row r="54" spans="1:13" ht="48" customHeight="1" x14ac:dyDescent="0.3">
      <c r="A54" s="4"/>
      <c r="B54" s="4"/>
      <c r="C54" s="4"/>
      <c r="D54" s="4"/>
      <c r="E54" s="4"/>
      <c r="F54" s="4"/>
      <c r="G54" s="4"/>
      <c r="H54" s="4"/>
      <c r="I54" s="13"/>
      <c r="J54" s="4"/>
      <c r="K54" s="4"/>
      <c r="L54" s="4"/>
      <c r="M54" s="4"/>
    </row>
    <row r="55" spans="1:13" ht="48" customHeight="1" x14ac:dyDescent="0.3">
      <c r="A55" s="4"/>
      <c r="B55" s="4"/>
      <c r="C55" s="4"/>
      <c r="D55" s="4"/>
      <c r="E55" s="4"/>
      <c r="F55" s="4"/>
      <c r="G55" s="4"/>
      <c r="H55" s="4"/>
      <c r="I55" s="13"/>
      <c r="J55" s="4"/>
      <c r="K55" s="4"/>
      <c r="L55" s="4"/>
      <c r="M55" s="4"/>
    </row>
    <row r="56" spans="1:13" ht="48" customHeight="1" x14ac:dyDescent="0.3">
      <c r="A56" s="4"/>
      <c r="B56" s="4"/>
      <c r="C56" s="4"/>
      <c r="D56" s="4"/>
      <c r="E56" s="4"/>
      <c r="F56" s="4"/>
      <c r="G56" s="4"/>
      <c r="H56" s="4"/>
      <c r="I56" s="13"/>
      <c r="J56" s="4"/>
      <c r="K56" s="4"/>
      <c r="L56" s="4"/>
      <c r="M56" s="4"/>
    </row>
    <row r="57" spans="1:13" ht="48" customHeight="1" x14ac:dyDescent="0.3">
      <c r="A57" s="4"/>
      <c r="B57" s="4"/>
      <c r="C57" s="4"/>
      <c r="D57" s="4"/>
      <c r="E57" s="4"/>
      <c r="F57" s="4"/>
      <c r="G57" s="4"/>
      <c r="H57" s="4"/>
      <c r="I57" s="13"/>
      <c r="J57" s="4"/>
      <c r="K57" s="4"/>
      <c r="L57" s="4"/>
      <c r="M57" s="4"/>
    </row>
    <row r="58" spans="1:13" ht="48" customHeight="1" x14ac:dyDescent="0.3">
      <c r="A58" s="4"/>
      <c r="B58" s="4"/>
      <c r="C58" s="4"/>
      <c r="D58" s="4"/>
      <c r="E58" s="4"/>
      <c r="F58" s="4"/>
      <c r="G58" s="4"/>
      <c r="H58" s="4"/>
      <c r="I58" s="13"/>
      <c r="J58" s="4"/>
      <c r="K58" s="4"/>
      <c r="L58" s="4"/>
      <c r="M58" s="4"/>
    </row>
    <row r="59" spans="1:13" ht="48" customHeight="1" x14ac:dyDescent="0.3">
      <c r="A59" s="4"/>
      <c r="B59" s="4"/>
      <c r="C59" s="4"/>
      <c r="D59" s="4"/>
      <c r="E59" s="4"/>
      <c r="F59" s="4"/>
      <c r="G59" s="4"/>
      <c r="H59" s="4"/>
      <c r="I59" s="13"/>
      <c r="J59" s="4"/>
      <c r="K59" s="4"/>
      <c r="L59" s="4"/>
      <c r="M59" s="4"/>
    </row>
    <row r="60" spans="1:13" ht="48" customHeight="1" x14ac:dyDescent="0.3">
      <c r="A60" s="4"/>
      <c r="B60" s="4"/>
      <c r="C60" s="4"/>
      <c r="D60" s="4"/>
      <c r="E60" s="4"/>
      <c r="F60" s="4"/>
      <c r="G60" s="4"/>
      <c r="H60" s="4"/>
      <c r="I60" s="13"/>
      <c r="J60" s="4"/>
      <c r="K60" s="4"/>
      <c r="L60" s="4"/>
      <c r="M60" s="4"/>
    </row>
    <row r="61" spans="1:13" ht="48" customHeight="1" x14ac:dyDescent="0.3">
      <c r="A61" s="4"/>
      <c r="B61" s="4"/>
      <c r="C61" s="4"/>
      <c r="D61" s="4"/>
      <c r="E61" s="4"/>
      <c r="F61" s="4"/>
      <c r="G61" s="4"/>
      <c r="H61" s="4"/>
      <c r="I61" s="13"/>
      <c r="J61" s="4"/>
      <c r="K61" s="4"/>
      <c r="L61" s="4"/>
      <c r="M61" s="4"/>
    </row>
    <row r="62" spans="1:13" ht="48" customHeight="1" x14ac:dyDescent="0.3">
      <c r="A62" s="4"/>
      <c r="B62" s="4"/>
      <c r="C62" s="4"/>
      <c r="D62" s="4"/>
      <c r="E62" s="4"/>
      <c r="F62" s="4"/>
      <c r="G62" s="4"/>
      <c r="H62" s="4"/>
      <c r="I62" s="13"/>
      <c r="J62" s="4"/>
      <c r="K62" s="4"/>
      <c r="L62" s="4"/>
      <c r="M62" s="4"/>
    </row>
  </sheetData>
  <autoFilter ref="A4:Q4" xr:uid="{00000000-0001-0000-0100-000000000000}"/>
  <mergeCells count="2">
    <mergeCell ref="A1:L1"/>
    <mergeCell ref="A2:L2"/>
  </mergeCells>
  <dataValidations count="2">
    <dataValidation type="list" allowBlank="1" showInputMessage="1" showErrorMessage="1" sqref="B24:B308 B5:B15 G19" xr:uid="{4EF72A04-AF0A-4DA9-8E16-7BBC5D6E7904}">
      <formula1>"T1-Device, T2-CustSaaS, T3-OPSSaaS, T4-Manufacturing, T5-Business, T6-Sales"</formula1>
    </dataValidation>
    <dataValidation type="list" allowBlank="1" showInputMessage="1" showErrorMessage="1" sqref="M5:M308" xr:uid="{78ABD0D4-7149-4674-9C2F-A831FDD4E9EA}">
      <formula1>$P$5:$P$9</formula1>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showGridLines="0" zoomScaleNormal="100" workbookViewId="0">
      <selection activeCell="B20" sqref="B20"/>
    </sheetView>
  </sheetViews>
  <sheetFormatPr defaultColWidth="8.6640625" defaultRowHeight="14.4" x14ac:dyDescent="0.3"/>
  <cols>
    <col min="1" max="1" width="28" customWidth="1"/>
    <col min="2" max="2" width="72" customWidth="1"/>
  </cols>
  <sheetData>
    <row r="1" spans="1:2" ht="25.5" customHeight="1" x14ac:dyDescent="0.3">
      <c r="A1" s="25" t="s">
        <v>94</v>
      </c>
      <c r="B1" s="25"/>
    </row>
    <row r="3" spans="1:2" ht="21.75" customHeight="1" x14ac:dyDescent="0.3">
      <c r="A3" s="22" t="s">
        <v>95</v>
      </c>
      <c r="B3" s="22" t="s">
        <v>96</v>
      </c>
    </row>
    <row r="4" spans="1:2" ht="32.25" customHeight="1" x14ac:dyDescent="0.3">
      <c r="A4" s="23" t="s">
        <v>3</v>
      </c>
      <c r="B4" s="4" t="s">
        <v>97</v>
      </c>
    </row>
    <row r="5" spans="1:2" ht="21.75" customHeight="1" x14ac:dyDescent="0.3">
      <c r="A5" s="23" t="s">
        <v>4</v>
      </c>
      <c r="B5" s="24" t="s">
        <v>98</v>
      </c>
    </row>
    <row r="6" spans="1:2" ht="43.5" customHeight="1" x14ac:dyDescent="0.3">
      <c r="A6" s="23" t="s">
        <v>5</v>
      </c>
      <c r="B6" s="4" t="s">
        <v>99</v>
      </c>
    </row>
    <row r="7" spans="1:2" ht="43.5" customHeight="1" x14ac:dyDescent="0.3">
      <c r="A7" s="23" t="s">
        <v>6</v>
      </c>
      <c r="B7" s="24" t="s">
        <v>100</v>
      </c>
    </row>
    <row r="8" spans="1:2" ht="43.5" customHeight="1" x14ac:dyDescent="0.3">
      <c r="A8" s="23" t="s">
        <v>7</v>
      </c>
      <c r="B8" s="4" t="s">
        <v>101</v>
      </c>
    </row>
    <row r="9" spans="1:2" ht="21.75" customHeight="1" x14ac:dyDescent="0.3">
      <c r="A9" s="23" t="s">
        <v>8</v>
      </c>
      <c r="B9" s="24" t="s">
        <v>102</v>
      </c>
    </row>
    <row r="10" spans="1:2" ht="43.5" customHeight="1" x14ac:dyDescent="0.3">
      <c r="A10" s="23" t="s">
        <v>9</v>
      </c>
      <c r="B10" s="4" t="s">
        <v>103</v>
      </c>
    </row>
    <row r="11" spans="1:2" ht="43.5" customHeight="1" x14ac:dyDescent="0.3">
      <c r="A11" s="23" t="s">
        <v>10</v>
      </c>
      <c r="B11" s="24" t="s">
        <v>104</v>
      </c>
    </row>
    <row r="12" spans="1:2" ht="43.5" customHeight="1" x14ac:dyDescent="0.3">
      <c r="A12" s="23" t="s">
        <v>11</v>
      </c>
      <c r="B12" s="4" t="s">
        <v>105</v>
      </c>
    </row>
    <row r="13" spans="1:2" ht="43.5" customHeight="1" x14ac:dyDescent="0.3">
      <c r="A13" s="23" t="s">
        <v>12</v>
      </c>
      <c r="B13" s="24" t="s">
        <v>106</v>
      </c>
    </row>
    <row r="14" spans="1:2" ht="21.75" customHeight="1" x14ac:dyDescent="0.3">
      <c r="A14" s="23"/>
      <c r="B14" s="4"/>
    </row>
    <row r="15" spans="1:2" ht="21.75" customHeight="1" x14ac:dyDescent="0.3">
      <c r="A15" s="22" t="s">
        <v>107</v>
      </c>
      <c r="B15" s="22"/>
    </row>
    <row r="16" spans="1:2" ht="43.5" customHeight="1" x14ac:dyDescent="0.3">
      <c r="A16" s="23" t="s">
        <v>108</v>
      </c>
      <c r="B16" s="4" t="s">
        <v>109</v>
      </c>
    </row>
    <row r="17" spans="1:2" ht="43.5" customHeight="1" x14ac:dyDescent="0.3">
      <c r="A17" s="23" t="s">
        <v>110</v>
      </c>
      <c r="B17" s="24" t="s">
        <v>111</v>
      </c>
    </row>
    <row r="18" spans="1:2" ht="21.75" customHeight="1" x14ac:dyDescent="0.3">
      <c r="A18" s="23"/>
      <c r="B18" s="24"/>
    </row>
    <row r="19" spans="1:2" ht="21.75" customHeight="1" x14ac:dyDescent="0.3">
      <c r="A19" s="23"/>
      <c r="B19" s="24"/>
    </row>
    <row r="20" spans="1:2" ht="43.5" customHeight="1" x14ac:dyDescent="0.3">
      <c r="A20" s="22" t="s">
        <v>112</v>
      </c>
      <c r="B20" s="22" t="s">
        <v>113</v>
      </c>
    </row>
  </sheetData>
  <mergeCells count="1">
    <mergeCell ref="A1:B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DB5987A744E84183A87D79190BFC14" ma:contentTypeVersion="12" ma:contentTypeDescription="Create a new document." ma:contentTypeScope="" ma:versionID="0f67a2a2abdbdc514efe4b1322ac2640">
  <xsd:schema xmlns:xsd="http://www.w3.org/2001/XMLSchema" xmlns:xs="http://www.w3.org/2001/XMLSchema" xmlns:p="http://schemas.microsoft.com/office/2006/metadata/properties" xmlns:ns2="ec48c10a-4c7a-4e96-ab5e-01b41decb331" xmlns:ns3="98caa207-8ff2-43a3-b0b9-2327ea1b0191" targetNamespace="http://schemas.microsoft.com/office/2006/metadata/properties" ma:root="true" ma:fieldsID="3174116bb22fb8cf846ea6d3b9a2782a" ns2:_="" ns3:_="">
    <xsd:import namespace="ec48c10a-4c7a-4e96-ab5e-01b41decb331"/>
    <xsd:import namespace="98caa207-8ff2-43a3-b0b9-2327ea1b019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48c10a-4c7a-4e96-ab5e-01b41decb3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8297b01-d547-41d3-882d-49e24340b81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caa207-8ff2-43a3-b0b9-2327ea1b019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4dd07-549d-4c64-83c3-8de1db198f0e}" ma:internalName="TaxCatchAll" ma:showField="CatchAllData" ma:web="98caa207-8ff2-43a3-b0b9-2327ea1b01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8caa207-8ff2-43a3-b0b9-2327ea1b0191" xsi:nil="true"/>
    <lcf76f155ced4ddcb4097134ff3c332f xmlns="ec48c10a-4c7a-4e96-ab5e-01b41decb33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134D43-2FA0-462B-B0EF-F3F0792564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48c10a-4c7a-4e96-ab5e-01b41decb331"/>
    <ds:schemaRef ds:uri="98caa207-8ff2-43a3-b0b9-2327ea1b01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F25CFD-4CEE-4FF9-9935-AB6645290F21}">
  <ds:schemaRefs>
    <ds:schemaRef ds:uri="http://purl.org/dc/terms/"/>
    <ds:schemaRef ds:uri="ec48c10a-4c7a-4e96-ab5e-01b41decb331"/>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98caa207-8ff2-43a3-b0b9-2327ea1b0191"/>
    <ds:schemaRef ds:uri="http://www.w3.org/XML/1998/namespace"/>
    <ds:schemaRef ds:uri="http://purl.org/dc/dcmitype/"/>
  </ds:schemaRefs>
</ds:datastoreItem>
</file>

<file path=customXml/itemProps3.xml><?xml version="1.0" encoding="utf-8"?>
<ds:datastoreItem xmlns:ds="http://schemas.openxmlformats.org/officeDocument/2006/customXml" ds:itemID="{3DB15075-928F-4C5C-90AC-54B06C164C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Experiment Log</vt:lpstr>
      <vt:lpstr>All Experiment Summary</vt:lpstr>
      <vt:lpstr>How To Use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Steve Drake</cp:lastModifiedBy>
  <cp:revision>0</cp:revision>
  <dcterms:created xsi:type="dcterms:W3CDTF">2026-06-02T13:20:13Z</dcterms:created>
  <dcterms:modified xsi:type="dcterms:W3CDTF">2026-06-04T00:58:25Z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0x01010052DB5987A744E84183A87D79190BFC14</vt:lpwstr>
  </property>
  <property fmtid="{D5CDD505-2E9C-101B-9397-08002B2CF9AE}" pid="3" name="MediaServiceImageTags">
    <vt:lpwstr/>
  </property>
</Properties>
</file>